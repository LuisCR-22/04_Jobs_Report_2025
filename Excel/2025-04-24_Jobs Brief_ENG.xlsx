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2.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5.xml" ContentType="application/vnd.openxmlformats-officedocument.drawingml.chart+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4.xml" ContentType="application/vnd.openxmlformats-officedocument.drawing+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5.xml" ContentType="application/vnd.openxmlformats-officedocument.drawing+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6.xml" ContentType="application/vnd.openxmlformats-officedocument.drawingml.chartshapes+xml"/>
  <Override PartName="/xl/drawings/drawing17.xml" ContentType="application/vnd.openxmlformats-officedocument.drawing+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8.xml" ContentType="application/vnd.openxmlformats-officedocument.drawingml.chartshapes+xml"/>
  <Override PartName="/xl/drawings/drawing19.xml" ContentType="application/vnd.openxmlformats-officedocument.drawing+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20.xml" ContentType="application/vnd.openxmlformats-officedocument.drawing+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wb593225\Github\04_Jobs_Report_2025\Excel\"/>
    </mc:Choice>
  </mc:AlternateContent>
  <xr:revisionPtr revIDLastSave="0" documentId="13_ncr:1_{94A9DFCA-2588-499F-B3E6-1A52AF9DAA3B}" xr6:coauthVersionLast="47" xr6:coauthVersionMax="47" xr10:uidLastSave="{00000000-0000-0000-0000-000000000000}"/>
  <bookViews>
    <workbookView xWindow="-108" yWindow="-108" windowWidth="23256" windowHeight="12456" tabRatio="904" xr2:uid="{69B73D42-BF61-4AC4-B534-660E5EDEB252}"/>
  </bookViews>
  <sheets>
    <sheet name="Index" sheetId="2" r:id="rId1"/>
    <sheet name="Figure 1" sheetId="27" r:id="rId2"/>
    <sheet name="Figure B1. a)" sheetId="28" r:id="rId3"/>
    <sheet name="Figure B1. b)" sheetId="3" r:id="rId4"/>
    <sheet name="Figure 2" sheetId="4" r:id="rId5"/>
    <sheet name="Figure 3" sheetId="5" r:id="rId6"/>
    <sheet name="Figure 4" sheetId="6" r:id="rId7"/>
    <sheet name="Figure 5" sheetId="7" r:id="rId8"/>
    <sheet name="Figure 6" sheetId="8" r:id="rId9"/>
    <sheet name="Figure 7" sheetId="9" r:id="rId10"/>
    <sheet name="Figure 8" sheetId="10" r:id="rId11"/>
    <sheet name="Figure 9" sheetId="11" r:id="rId12"/>
    <sheet name="Figure 10" sheetId="12" r:id="rId13"/>
    <sheet name="Figure 11 a) and b)" sheetId="13" r:id="rId14"/>
    <sheet name="Figure 12" sheetId="14" r:id="rId15"/>
    <sheet name="Figure 13 a)" sheetId="15" r:id="rId16"/>
    <sheet name="Figure 13 b)" sheetId="16" r:id="rId17"/>
    <sheet name="Annex 01" sheetId="17" r:id="rId18"/>
    <sheet name="Annex 02" sheetId="18" r:id="rId19"/>
    <sheet name="Table A1" sheetId="19" r:id="rId20"/>
    <sheet name="Table A2" sheetId="20" r:id="rId21"/>
    <sheet name="Table A3" sheetId="21" r:id="rId22"/>
    <sheet name="Table A4" sheetId="22" r:id="rId23"/>
    <sheet name="Table A5" sheetId="23" r:id="rId24"/>
    <sheet name="Table A6a" sheetId="24" r:id="rId25"/>
    <sheet name="Table A6b" sheetId="25" r:id="rId26"/>
    <sheet name="Table A7" sheetId="26" r:id="rId27"/>
  </sheets>
  <definedNames>
    <definedName name="_xlnm._FilterDatabase" localSheetId="18" hidden="1">'Annex 02'!$A$4:$E$17</definedName>
    <definedName name="_xlnm._FilterDatabase" localSheetId="13" hidden="1">'Figure 11 a) and b)'!$A$1:$L$25</definedName>
    <definedName name="_xlnm._FilterDatabase" localSheetId="15" hidden="1">'Figure 13 a)'!$A$1:$F$19</definedName>
    <definedName name="_xlnm._FilterDatabase" localSheetId="16" hidden="1">'Figure 13 b)'!$A$1:$F$28</definedName>
    <definedName name="_xlnm._FilterDatabase" localSheetId="4" hidden="1">'Figure 2'!$A$2:$G$36</definedName>
    <definedName name="_xlnm._FilterDatabase" localSheetId="6" hidden="1">'Figure 4'!$A$1:$C$1</definedName>
    <definedName name="_xlnm._FilterDatabase" localSheetId="9" hidden="1">'Figure 7'!$A$1:$S$21</definedName>
    <definedName name="_xlnm._FilterDatabase" localSheetId="10" hidden="1">'Figure 8'!$A$2:$M$17</definedName>
    <definedName name="_xlnm._FilterDatabase" localSheetId="3" hidden="1">'Figure B1. b)'!$A$1:$B$8</definedName>
    <definedName name="_xleta.LARGE" hidden="1">#NAME?</definedName>
  </definedNames>
  <calcPr calcId="191028"/>
  <pivotCaches>
    <pivotCache cacheId="0" r:id="rId2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5" i="11" l="1"/>
  <c r="L25" i="11"/>
  <c r="K25" i="11"/>
  <c r="M24" i="11"/>
  <c r="L24" i="11"/>
  <c r="K24" i="11"/>
  <c r="M23" i="11"/>
  <c r="L23" i="11"/>
  <c r="K23" i="11"/>
  <c r="J23" i="11"/>
  <c r="I23" i="11"/>
  <c r="H23" i="11"/>
  <c r="G23" i="11"/>
  <c r="F23" i="11"/>
  <c r="E23" i="11"/>
  <c r="D23" i="11"/>
  <c r="C23" i="11"/>
  <c r="B23" i="11"/>
  <c r="D22" i="11"/>
  <c r="M21" i="11"/>
  <c r="L21" i="11"/>
  <c r="K21" i="11"/>
  <c r="J21" i="11"/>
  <c r="I21" i="11"/>
  <c r="H21" i="11"/>
  <c r="G21" i="11"/>
  <c r="F21" i="11"/>
  <c r="E21" i="11"/>
  <c r="D21" i="11"/>
  <c r="C21" i="11"/>
  <c r="B21" i="11"/>
  <c r="B37" i="7"/>
  <c r="C32" i="6"/>
  <c r="C33" i="6"/>
  <c r="B32" i="6" s="1"/>
  <c r="C34"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tc={E4A07680-3A01-495D-9CFC-7305CD16681F}</author>
  </authors>
  <commentList>
    <comment ref="Z1" authorId="0" shapeId="0" xr:uid="{E4A07680-3A01-495D-9CFC-7305CD16681F}">
      <text>
        <t>[Threaded comment]
Your version of Excel allows you to read this threaded comment; however, any edits to it will get removed if the file is opened in a newer version of Excel. Learn more: https://go.microsoft.com/fwlink/?linkid=870924
Comment:
    Productivity?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Luis Eduardo Castellanos Rodriguez</author>
  </authors>
  <commentList>
    <comment ref="O7" authorId="0" shapeId="0" xr:uid="{8E4AE743-41D1-4180-AFE7-F85C1451273A}">
      <text>
        <r>
          <rPr>
            <b/>
            <sz val="9"/>
            <color indexed="81"/>
            <rFont val="Tahoma"/>
            <family val="2"/>
          </rPr>
          <t>Luis Eduardo Castellanos Rodriguez:</t>
        </r>
        <r>
          <rPr>
            <sz val="9"/>
            <color indexed="81"/>
            <rFont val="Tahoma"/>
            <family val="2"/>
          </rPr>
          <t xml:space="preserve">
Si tenemos employment para 2024</t>
        </r>
      </text>
    </comment>
  </commentList>
</comments>
</file>

<file path=xl/sharedStrings.xml><?xml version="1.0" encoding="utf-8"?>
<sst xmlns="http://schemas.openxmlformats.org/spreadsheetml/2006/main" count="1654" uniqueCount="493">
  <si>
    <t>Index</t>
  </si>
  <si>
    <t>Figure 1</t>
  </si>
  <si>
    <t>GDP, Job Creation, and Labor Earnings (Year-to-Year Growth) in Latin America and Caribbean, 2017–24 (Q2)</t>
  </si>
  <si>
    <t>Figure B1.a)</t>
  </si>
  <si>
    <t>LHRs in LAC and Other Regions, 2017–25 (February) (Year-to-Year Changes)</t>
  </si>
  <si>
    <t>Figure B1.b)</t>
  </si>
  <si>
    <t>Average LHR by Region in 2017 and 2024–25 (Year-to-Year Changes)</t>
  </si>
  <si>
    <t>Figure 2</t>
  </si>
  <si>
    <t>Change in Annualized Growth Rate of Job Creation, LAC vs. Peer Countries, 2016 vs. 2024 (p.p.)</t>
  </si>
  <si>
    <t>Figure 3</t>
  </si>
  <si>
    <t xml:space="preserve">Working-Age Population and Total Employment in LAC by Education Level, 2016–24 Annualized Growth (%) </t>
  </si>
  <si>
    <t>Figure 4</t>
  </si>
  <si>
    <t>Numbers of Jobs Created in LAC by Category, 2016–24</t>
  </si>
  <si>
    <t>Figure 5</t>
  </si>
  <si>
    <t>Employment, LFP, and Unemployment Rates in the LAC Region, 2016–24</t>
  </si>
  <si>
    <t>Figure 6</t>
  </si>
  <si>
    <t>Employment Rates and Job Growth in LAC by Gender, Age, and Skill Level, 2016-24</t>
  </si>
  <si>
    <t>Figure 7</t>
  </si>
  <si>
    <t>Employment Rate Changes in LAC Countries and LAC vs. Other Regions, 2016 vs. 2024 (p.p.)</t>
  </si>
  <si>
    <t>Figure 8</t>
  </si>
  <si>
    <t>Figure 9</t>
  </si>
  <si>
    <t>Earnings Levels and Growth by Socioeconomic Group in LAC, 2016–24</t>
  </si>
  <si>
    <t>Figure 10</t>
  </si>
  <si>
    <t>Labor Income by LAC Country Relative to Region Median, 2024</t>
  </si>
  <si>
    <t>Figure 11. a) and b)</t>
  </si>
  <si>
    <t>Figure 11 Labor and Productivity Growth, 2016–24 (USD 2017 PPP)</t>
  </si>
  <si>
    <t>Figure 12</t>
  </si>
  <si>
    <t>Decomposition of Labor Income Changes in LAC Countries with High Earnings Growth (2016–24)</t>
  </si>
  <si>
    <t>Figure 13. a)</t>
  </si>
  <si>
    <t>Changes in Employment vs. Relative Productivity by Sector, 2016−24</t>
  </si>
  <si>
    <t>Figure 13. b)</t>
  </si>
  <si>
    <t>Annex 01</t>
  </si>
  <si>
    <t>Changes in the Job Quality Index for Selected LAC Countries, 2016 vs. 2023 (p.p.)</t>
  </si>
  <si>
    <t>Annex 02</t>
  </si>
  <si>
    <t xml:space="preserve"> Wage Inequality (Gini Coefficient), 2024 vs. 2016 </t>
  </si>
  <si>
    <t>Table A1</t>
  </si>
  <si>
    <t xml:space="preserve"> Employment growth (annualized) by country, sector, gender, and skill, 2016-2024</t>
  </si>
  <si>
    <t>Table A2</t>
  </si>
  <si>
    <t xml:space="preserve"> Earnings growth (annualized) by country, sector, gender, and skill, 2016-2024</t>
  </si>
  <si>
    <t>Table A3</t>
  </si>
  <si>
    <t xml:space="preserve"> Job creation rate (annualized) by country, sector, and skill level, Men 2016-2024</t>
  </si>
  <si>
    <t>Table A4</t>
  </si>
  <si>
    <t xml:space="preserve"> Job creation rate (annualized) by country, sector, and skill level, Women 2016-2024</t>
  </si>
  <si>
    <t>Table A5</t>
  </si>
  <si>
    <t xml:space="preserve"> LABLAC coverage and comparability</t>
  </si>
  <si>
    <t>Table A6</t>
  </si>
  <si>
    <t xml:space="preserve"> Exceptions to Standard Time Periods: Cases Using Approximate Years</t>
  </si>
  <si>
    <t>Table A7</t>
  </si>
  <si>
    <t>Definitions</t>
  </si>
  <si>
    <t>Period labels</t>
  </si>
  <si>
    <t>Real GDP (USD PPP17)</t>
  </si>
  <si>
    <t>Real GDP Projection</t>
  </si>
  <si>
    <t xml:space="preserve"> Job Creation</t>
  </si>
  <si>
    <t>Job Creation Projection</t>
  </si>
  <si>
    <t>Earnings (USD PPP17)</t>
  </si>
  <si>
    <t>Earnings Projection</t>
  </si>
  <si>
    <t>LAC- 7 earnings growth</t>
  </si>
  <si>
    <t xml:space="preserve">Graph I. </t>
  </si>
  <si>
    <t>2017-1</t>
  </si>
  <si>
    <t>2017-2</t>
  </si>
  <si>
    <t>Figure 1 GDP, Job Creation, and Labor Earnings (Year-to-Year Growth) in Latin America and Caribbean, 2017–24 (Q2)</t>
  </si>
  <si>
    <t>2017-3</t>
  </si>
  <si>
    <t>2017-4</t>
  </si>
  <si>
    <t>2018-1</t>
  </si>
  <si>
    <t>2018-2</t>
  </si>
  <si>
    <t>2018-3</t>
  </si>
  <si>
    <t>2018-4</t>
  </si>
  <si>
    <t>2019-1</t>
  </si>
  <si>
    <t>2019-2</t>
  </si>
  <si>
    <t>2019-3</t>
  </si>
  <si>
    <t>2019-4</t>
  </si>
  <si>
    <t>2020-1</t>
  </si>
  <si>
    <t>2020-2</t>
  </si>
  <si>
    <t>2020-3</t>
  </si>
  <si>
    <t>2020-4</t>
  </si>
  <si>
    <t>2021-1</t>
  </si>
  <si>
    <t>2021-2</t>
  </si>
  <si>
    <t>2021-3</t>
  </si>
  <si>
    <t>2021-4</t>
  </si>
  <si>
    <t>2022-1</t>
  </si>
  <si>
    <t>2022-2</t>
  </si>
  <si>
    <t>2022-3</t>
  </si>
  <si>
    <t>2022-4</t>
  </si>
  <si>
    <t>2023-1</t>
  </si>
  <si>
    <t>2023-2</t>
  </si>
  <si>
    <t>2023-3</t>
  </si>
  <si>
    <t>2023-4</t>
  </si>
  <si>
    <t>2024-1</t>
  </si>
  <si>
    <t>2024-2</t>
  </si>
  <si>
    <t>Date</t>
  </si>
  <si>
    <t>Argentina</t>
  </si>
  <si>
    <t>Bolivia</t>
  </si>
  <si>
    <t>Brazil</t>
  </si>
  <si>
    <t>Chile</t>
  </si>
  <si>
    <t>Colombia</t>
  </si>
  <si>
    <t>Costa Rica</t>
  </si>
  <si>
    <t>Dominican Republic</t>
  </si>
  <si>
    <t>Ecuador</t>
  </si>
  <si>
    <t>Guatemala</t>
  </si>
  <si>
    <t>Mexico</t>
  </si>
  <si>
    <t>Peru</t>
  </si>
  <si>
    <t>Uruguay</t>
  </si>
  <si>
    <t>Venezuela</t>
  </si>
  <si>
    <t>Central America</t>
  </si>
  <si>
    <t>Andean Region</t>
  </si>
  <si>
    <t>Southern Cone</t>
  </si>
  <si>
    <t>(a)	Average LHR by LAC subregion (year-to-year changes), 2017-2025</t>
  </si>
  <si>
    <t>regionname</t>
  </si>
  <si>
    <t>March 2024-February 2025</t>
  </si>
  <si>
    <t>January-December 2017</t>
  </si>
  <si>
    <t>South Asia</t>
  </si>
  <si>
    <t>Middle East and North Africa</t>
  </si>
  <si>
    <t>East Asia and Pacific</t>
  </si>
  <si>
    <t>(b) Average LHR by region in 2017 and 2024/25 (year-to-year changes)</t>
  </si>
  <si>
    <t>Sub-Saharan Africa</t>
  </si>
  <si>
    <t>Latin America and the Caribbean</t>
  </si>
  <si>
    <t>High income</t>
  </si>
  <si>
    <t>Europe and Central Asia</t>
  </si>
  <si>
    <t>Latin America and the Caribbean (Q4)</t>
  </si>
  <si>
    <t>Country</t>
  </si>
  <si>
    <t>Circa 2016</t>
  </si>
  <si>
    <t>Circa 2019</t>
  </si>
  <si>
    <t>Circa 2022</t>
  </si>
  <si>
    <t>2016-2019</t>
  </si>
  <si>
    <t>2019-2024</t>
  </si>
  <si>
    <t>2016-2024</t>
  </si>
  <si>
    <t>Paraguay</t>
  </si>
  <si>
    <t>El Salvador</t>
  </si>
  <si>
    <t>LAC</t>
  </si>
  <si>
    <t>India</t>
  </si>
  <si>
    <t>Gambia</t>
  </si>
  <si>
    <t>Figure 2 Change in Annualized Growth Rate of Job Creation, LAC vs. Peer Countries, 2016 vs. 2024 (p.p.)</t>
  </si>
  <si>
    <t>Pakistan</t>
  </si>
  <si>
    <t>Indonesia</t>
  </si>
  <si>
    <t>Bangladesh</t>
  </si>
  <si>
    <t>Philippines</t>
  </si>
  <si>
    <t>Rwanda</t>
  </si>
  <si>
    <t>Armenia</t>
  </si>
  <si>
    <t>Zambia</t>
  </si>
  <si>
    <t>Tunisia</t>
  </si>
  <si>
    <t>Turkey</t>
  </si>
  <si>
    <t>Sri Lanka</t>
  </si>
  <si>
    <t>Mongolia</t>
  </si>
  <si>
    <t>Thailand</t>
  </si>
  <si>
    <t>Tanzania</t>
  </si>
  <si>
    <t>South Africa</t>
  </si>
  <si>
    <t>Ethiopia</t>
  </si>
  <si>
    <t>Georgia</t>
  </si>
  <si>
    <t>3. Annualized Growth in in 15+ people and workers, by skill level</t>
  </si>
  <si>
    <t>Working Age Population</t>
  </si>
  <si>
    <t>People Employed</t>
  </si>
  <si>
    <t>Skill level</t>
  </si>
  <si>
    <t>Total</t>
  </si>
  <si>
    <t>Low</t>
  </si>
  <si>
    <t>Middle</t>
  </si>
  <si>
    <t>High</t>
  </si>
  <si>
    <t xml:space="preserve">Figure 3 Working-Age Population and Total Employment in LAC by Education Level, 2016–24 Annualized Growth (%) </t>
  </si>
  <si>
    <t>Notes: Own calculations. Sources: Data for LAC comes from LABLAC (CEDLAS and the World Bank). The LAC regional aggregate is based on 8 countries in the region for which LABLAC microdata were available for the construction of the aggregate. The LAC-7 aggregate includes people 15 years and older in Argentina, Bolivia, Brazil, Chile, Costa Rica, Mexico, Peru. Argentina and Ecuador have only urban coverage. Peru has coverage only for Lima and Callao. Note: Following ILO’s definition, low skilled workers are defined as those that have not completed secondary education, middle skill are those with complete secondary but not tertiary education and high skill are those that have completed tertiary education, considering only the population above 15 years old. Colombia and Ecuador are excluded from the analysis because a methodology change in 2021 makes its data no longer comparable with previous years. Nevertheless, including Colombia or Ecuador does not significantly change the results.</t>
  </si>
  <si>
    <t>Category</t>
  </si>
  <si>
    <t>Subcategory</t>
  </si>
  <si>
    <t>Value</t>
  </si>
  <si>
    <t>Age</t>
  </si>
  <si>
    <t>15-24</t>
  </si>
  <si>
    <t>Sum of Value</t>
  </si>
  <si>
    <t>Column Labels</t>
  </si>
  <si>
    <t>64+</t>
  </si>
  <si>
    <t>Row Labels</t>
  </si>
  <si>
    <t>Urban</t>
  </si>
  <si>
    <t>Employee</t>
  </si>
  <si>
    <t>Women</t>
  </si>
  <si>
    <t>Men</t>
  </si>
  <si>
    <t>Big</t>
  </si>
  <si>
    <t>25-44</t>
  </si>
  <si>
    <t>Retail and Wholesale Trade, Restaurants, Hotels, Repairs</t>
  </si>
  <si>
    <t>Small</t>
  </si>
  <si>
    <t>Self-employed</t>
  </si>
  <si>
    <t>Education, Health, Personal Services</t>
  </si>
  <si>
    <t xml:space="preserve"> 45-54</t>
  </si>
  <si>
    <t>55-64</t>
  </si>
  <si>
    <t>Banks, Finance, Insurance, Professional Services</t>
  </si>
  <si>
    <t>Public</t>
  </si>
  <si>
    <t>Electricity, Gas, Water, Transport, Communications</t>
  </si>
  <si>
    <t>Industry</t>
  </si>
  <si>
    <t>Employer</t>
  </si>
  <si>
    <t>Construction</t>
  </si>
  <si>
    <t>Rural</t>
  </si>
  <si>
    <t>Public Administration and Defense</t>
  </si>
  <si>
    <t>Domestic Service</t>
  </si>
  <si>
    <t>Unpaid workers</t>
  </si>
  <si>
    <t>Primary Activities</t>
  </si>
  <si>
    <t>Grand Total</t>
  </si>
  <si>
    <t>Gender</t>
  </si>
  <si>
    <t>Firm Size</t>
  </si>
  <si>
    <t>Labor Status</t>
  </si>
  <si>
    <t>Sector</t>
  </si>
  <si>
    <t>Figure 4 Numbers of Jobs Created in LAC by Category, 2016–24</t>
  </si>
  <si>
    <t>Period</t>
  </si>
  <si>
    <t>LFP (LAC)</t>
  </si>
  <si>
    <t>Employment (LAC)</t>
  </si>
  <si>
    <t>Unemployment (LAC)</t>
  </si>
  <si>
    <t>Youth Unemployment (LAC)</t>
  </si>
  <si>
    <t>NEET (LAC)</t>
  </si>
  <si>
    <t>Alt NEET (LAC)</t>
  </si>
  <si>
    <t>2016-Q1</t>
  </si>
  <si>
    <t>2016-Q2</t>
  </si>
  <si>
    <t>2016-Q3</t>
  </si>
  <si>
    <t>2016-Q4</t>
  </si>
  <si>
    <t>2017-Q1</t>
  </si>
  <si>
    <t>2017-Q2</t>
  </si>
  <si>
    <t>Figure 5 Employment, LFP, and Unemployment Rates in the LAC Region, 2016–24</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</si>
  <si>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</si>
  <si>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</si>
  <si>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</si>
  <si>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</si>
  <si>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</si>
  <si>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</si>
  <si>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</si>
  <si>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</si>
  <si>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</si>
  <si>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</si>
  <si>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</si>
  <si>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</si>
  <si>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</si>
  <si>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</si>
  <si>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</si>
  <si>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</si>
  <si>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</si>
  <si>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</si>
  <si>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</si>
  <si>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</si>
  <si>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</si>
  <si>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</si>
  <si>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</si>
  <si>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</si>
  <si>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</si>
  <si>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</si>
  <si>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</si>
  <si>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</si>
  <si>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Year</t>
  </si>
  <si>
    <t>Male</t>
  </si>
  <si>
    <t>Female</t>
  </si>
  <si>
    <t>45-54</t>
  </si>
  <si>
    <t>65+</t>
  </si>
  <si>
    <t>25-54</t>
  </si>
  <si>
    <t>2024-Q3</t>
  </si>
  <si>
    <t>2024-Q4</t>
  </si>
  <si>
    <t>2023-2024</t>
  </si>
  <si>
    <t>Annualized Growth 2016-2019</t>
  </si>
  <si>
    <t>Annualized Growth 2023-2024</t>
  </si>
  <si>
    <t>2016-2019 Average growth (pp)</t>
  </si>
  <si>
    <t>2023-2024 growth (pp)</t>
  </si>
  <si>
    <t>Figure 6 Employment Rates and Job Growth in LAC by Gender, Age, and Skill Level, 2016-24</t>
  </si>
  <si>
    <t>Period 2016-2024</t>
  </si>
  <si>
    <t>Initial Period</t>
  </si>
  <si>
    <t>Final Period</t>
  </si>
  <si>
    <t>Initial Value</t>
  </si>
  <si>
    <t>Final Value</t>
  </si>
  <si>
    <t>Period 2016-2019</t>
  </si>
  <si>
    <t>Period 2019-2024</t>
  </si>
  <si>
    <t>2016-Q2 to 2024-Q2</t>
  </si>
  <si>
    <t>2016-Q2 to 2019-Q2</t>
  </si>
  <si>
    <t>2019-Q2 to 2024-Q2</t>
  </si>
  <si>
    <t>Figure 7 Employment Rate Changes in LAC Countries and LAC vs. Other Regions, 2016 vs. 2024 (p.p.)</t>
  </si>
  <si>
    <t>2016-Q2 to 2023-Q2</t>
  </si>
  <si>
    <t>2019-Q2 to 2023-Q2</t>
  </si>
  <si>
    <t>2016 to 2023</t>
  </si>
  <si>
    <t>2016 to 2019</t>
  </si>
  <si>
    <t>2021 to 2023</t>
  </si>
  <si>
    <t>2017-Q2 to 2024-Q2</t>
  </si>
  <si>
    <t>2017-Q2 to 2019-Q2</t>
  </si>
  <si>
    <t>High Income</t>
  </si>
  <si>
    <t>Average</t>
  </si>
  <si>
    <t>2021-Q2 to 2024-Q2</t>
  </si>
  <si>
    <t>Europe &amp; Central Asia</t>
  </si>
  <si>
    <t>2022-Q2 to 2024-Q2</t>
  </si>
  <si>
    <t>Not available</t>
  </si>
  <si>
    <t>Not ava</t>
  </si>
  <si>
    <t>ailable</t>
  </si>
  <si>
    <t>Middle East &amp; North Africa</t>
  </si>
  <si>
    <t>East Asia &amp; Pacific</t>
  </si>
  <si>
    <t>Informality (productive definition)</t>
  </si>
  <si>
    <t>Informality (social protection definition)</t>
  </si>
  <si>
    <t>Wage employment</t>
  </si>
  <si>
    <t>Weights</t>
  </si>
  <si>
    <t>Rescaled w</t>
  </si>
  <si>
    <t>Start</t>
  </si>
  <si>
    <t>End</t>
  </si>
  <si>
    <t>Total_Change_(pp)</t>
  </si>
  <si>
    <t>Total_Wage Employment (% of workers)_Start</t>
  </si>
  <si>
    <t>Total_Wage Employment (% of workers)_End</t>
  </si>
  <si>
    <t>Start_Period</t>
  </si>
  <si>
    <t>End_Period</t>
  </si>
  <si>
    <t>gtm</t>
  </si>
  <si>
    <t>arg</t>
  </si>
  <si>
    <t>2016_q02</t>
  </si>
  <si>
    <t>2024_q02</t>
  </si>
  <si>
    <t>per</t>
  </si>
  <si>
    <t>bol</t>
  </si>
  <si>
    <t>bra</t>
  </si>
  <si>
    <t>2016_q04</t>
  </si>
  <si>
    <t>pry</t>
  </si>
  <si>
    <t>chl</t>
  </si>
  <si>
    <t>dom</t>
  </si>
  <si>
    <t>col</t>
  </si>
  <si>
    <t>2021_q02</t>
  </si>
  <si>
    <t>cri</t>
  </si>
  <si>
    <t>slv</t>
  </si>
  <si>
    <t>2017_q02</t>
  </si>
  <si>
    <t>ury</t>
  </si>
  <si>
    <t>ecu</t>
  </si>
  <si>
    <t>2022_q04</t>
  </si>
  <si>
    <t>Lac</t>
  </si>
  <si>
    <t>mex</t>
  </si>
  <si>
    <t>2022_q02</t>
  </si>
  <si>
    <t>2023_q02</t>
  </si>
  <si>
    <t>LAC countries: Argentina, Bolivia, Brazil, Chile, Costa Rica, Mexico, Peru (LAC-7)</t>
  </si>
  <si>
    <t xml:space="preserve">Figure 8 Changes in Informality and Salaried Employment Rates in LAC Countries, 2016 vs. 2024 (p.p.) </t>
  </si>
  <si>
    <t>Te</t>
  </si>
  <si>
    <t xml:space="preserve"> 65+</t>
  </si>
  <si>
    <t xml:space="preserve"> 25-54</t>
  </si>
  <si>
    <t>Panel 1: Total Labor income PPP17</t>
  </si>
  <si>
    <t>Panel 2</t>
  </si>
  <si>
    <t>Figure 9 Earnings Levels and Growth by Socioeconomic Group in LAC, 2016–24</t>
  </si>
  <si>
    <t>Figure 10 Labor Income by LAC Country Relative to Region Median, 2024</t>
  </si>
  <si>
    <t>20th percentile</t>
  </si>
  <si>
    <t>Median</t>
  </si>
  <si>
    <t>80th percentile</t>
  </si>
  <si>
    <t>Type</t>
  </si>
  <si>
    <t>Last Yr_Orig</t>
  </si>
  <si>
    <t>Last Yr_GDP</t>
  </si>
  <si>
    <t>Initial Yr</t>
  </si>
  <si>
    <t xml:space="preserve"> Annualized Wage Growth</t>
  </si>
  <si>
    <t>Annualized Labor Income Growth</t>
  </si>
  <si>
    <t>GDP Initial</t>
  </si>
  <si>
    <t>GDP Last</t>
  </si>
  <si>
    <t>Num Yrs</t>
  </si>
  <si>
    <t>Annualized GDP per worker growth</t>
  </si>
  <si>
    <t>** GDP per person employed (constant 2021 PPP $)</t>
  </si>
  <si>
    <t>*** GDP Last for 2024 has been replaced by 2023, 2024 not available</t>
  </si>
  <si>
    <t>x</t>
  </si>
  <si>
    <t>Not LAC</t>
  </si>
  <si>
    <t>**** CAGR = ((Ending Value / Beginning Value)^(1/Number of Years)) - 1</t>
  </si>
  <si>
    <t>Vietnam</t>
  </si>
  <si>
    <t>Peru (Lima and Callao)</t>
  </si>
  <si>
    <r>
      <t>(a)</t>
    </r>
    <r>
      <rPr>
        <b/>
        <sz val="7"/>
        <color rgb="FFA02B93"/>
        <rFont val="Times New Roman"/>
        <family val="1"/>
      </rPr>
      <t xml:space="preserve">     </t>
    </r>
    <r>
      <rPr>
        <b/>
        <sz val="10"/>
        <color rgb="FFA02B93"/>
        <rFont val="Calibri"/>
        <family val="2"/>
      </rPr>
      <t xml:space="preserve">Average Wage and Labor Income Growth             </t>
    </r>
  </si>
  <si>
    <t>(b) Wage Growth vs. Productivity Growth</t>
  </si>
  <si>
    <t>Figure 12 Decomposition of Labor Income Changes in LAC Countries with High Earnings Growth (2016–24)</t>
  </si>
  <si>
    <t>endowments-Education</t>
  </si>
  <si>
    <t>endowments-Gender</t>
  </si>
  <si>
    <t>endowments-Job charact</t>
  </si>
  <si>
    <t>endowments-Other</t>
  </si>
  <si>
    <t>returns-Education</t>
  </si>
  <si>
    <t>returns-Gender</t>
  </si>
  <si>
    <t>returns-Job charact</t>
  </si>
  <si>
    <t>returns-Other</t>
  </si>
  <si>
    <t>Endowments</t>
  </si>
  <si>
    <t>Returns</t>
  </si>
  <si>
    <t>Other</t>
  </si>
  <si>
    <t>Workforce Educational Composition</t>
  </si>
  <si>
    <t>Workforce Gender Composition</t>
  </si>
  <si>
    <t>Education Wage Premium</t>
  </si>
  <si>
    <t>Gender Wage Premium</t>
  </si>
  <si>
    <t>country</t>
  </si>
  <si>
    <t>sector_label_etd</t>
  </si>
  <si>
    <t>valuesEMP</t>
  </si>
  <si>
    <t>compare_share</t>
  </si>
  <si>
    <t>change_share</t>
  </si>
  <si>
    <t>relative_prod</t>
  </si>
  <si>
    <t>Agriculture</t>
  </si>
  <si>
    <t>Figure 13. a) Changes in Employment vs. Relative Productivity by Sector, 2016−24</t>
  </si>
  <si>
    <t>Transport, Communications, Finance and Real Estate</t>
  </si>
  <si>
    <t>4EA72E</t>
  </si>
  <si>
    <t>D9A441</t>
  </si>
  <si>
    <t>Government, Health and Education</t>
  </si>
  <si>
    <t>Manufacturing</t>
  </si>
  <si>
    <t>Mining</t>
  </si>
  <si>
    <t>Retail and Hospitality</t>
  </si>
  <si>
    <t>Utilities</t>
  </si>
  <si>
    <t>Figure 13. b) Changes in Employment vs. Relative Productivity by Sector, 2016−24</t>
  </si>
  <si>
    <t>Figure A1 Changes in the Job Quality Index for Selected LAC Countries, 2016 vs. 2023 (p.p.)</t>
  </si>
  <si>
    <t>Change</t>
  </si>
  <si>
    <t>Absolute Change in JQI</t>
  </si>
  <si>
    <t>2019-2023</t>
  </si>
  <si>
    <t>2016-2023</t>
  </si>
  <si>
    <t>Panama</t>
  </si>
  <si>
    <r>
      <t>Figure A2 Wage Inequality (Gini Coefficient), 2024 vs. 2016</t>
    </r>
    <r>
      <rPr>
        <sz val="11"/>
        <color theme="1"/>
        <rFont val="Aptos"/>
        <family val="2"/>
      </rPr>
      <t xml:space="preserve"> </t>
    </r>
  </si>
  <si>
    <t>countrycode</t>
  </si>
  <si>
    <t>countryname</t>
  </si>
  <si>
    <t>year</t>
  </si>
  <si>
    <t>weighted_gini</t>
  </si>
  <si>
    <t>Hourly wage gini</t>
  </si>
  <si>
    <t>ARM</t>
  </si>
  <si>
    <t>BGD</t>
  </si>
  <si>
    <t>GEO</t>
  </si>
  <si>
    <t>IND</t>
  </si>
  <si>
    <t>Uses 2023 instead 2024</t>
  </si>
  <si>
    <t>LKA</t>
  </si>
  <si>
    <t>2021-2023</t>
  </si>
  <si>
    <t>MNG</t>
  </si>
  <si>
    <t>PHL</t>
  </si>
  <si>
    <t>Uses 2017 instead 2016</t>
  </si>
  <si>
    <t>THA</t>
  </si>
  <si>
    <t>2021-2024</t>
  </si>
  <si>
    <t>Source: GLD</t>
  </si>
  <si>
    <t>Source: GLD Note: Note: Armenia takes values for 2016 and 2021, Bangladesh for 2016 and 2022, Georgia for 2017 and 2021, India for 2017 and 2021, Sri Lanka for 2015 and 2021, Mongolia for 2016 and 2021, Philippines for 2016 and 2021, Thailand for 2016 and 2021.</t>
  </si>
  <si>
    <t>Calculated as as simple average of the countries with available data (LAC-7)</t>
  </si>
  <si>
    <t>Uses hourly laboral income in all ocupations, as wage variable is not available in the EPE</t>
  </si>
  <si>
    <t>Notes: Own calculations. Sources: LAC data comes from LABLAC (CEDLAS and the World Bank) and data for non-LAC countries comes from GLD (Global Labor Database, the World Bank). The LAC regional earnings aggregate is based on a weighted average of 11 countries in the region for which LABLAC microdata were available and were comparable for the construction of the aggregate (LAC-11). LAC-11 includes Argentina, Bolivia, Brazil, Chile, Colombia, Costa Rica, Ecuador, Mexico, Peru, El Salvador, and Uruguay. Argentina and Ecuador have only urban coverage. Peru has only coverage for Lima and Callao. For comparability, the annualized growth calculation for a) El Salvador, Colombia and Chile use 2023 data instead 2024, b) Dominican Republic and Paraguay use 2017 instead 2016, d) Peru the wage annualized growth corresponds to the hourly laboral income for all occupations.</t>
  </si>
  <si>
    <t>Table A1 Employment Growth (Annualized) by Country, Sector, Gender, and Skill Level, 2016–24 (percent)</t>
  </si>
  <si>
    <t>Título</t>
  </si>
  <si>
    <t>Sectors</t>
  </si>
  <si>
    <t>Subtítulo</t>
  </si>
  <si>
    <t>tx</t>
  </si>
  <si>
    <t>Retail and Wholesale, Restaurants, Hotels, Repairs</t>
  </si>
  <si>
    <t>Electricity, Gas, Water, Transportation, Communications</t>
  </si>
  <si>
    <t>Domestic Services</t>
  </si>
  <si>
    <t>Table A2 Earnings Growth (Annualized) by Country, Sector, Gender, and Skill Level, 2016–24 (percent)</t>
  </si>
  <si>
    <t>Table A3 Job Creation Rate (Annualized) for Men by Country, Sector, and Skill Level, 2016–24 (percent)</t>
  </si>
  <si>
    <t>Table A4 Job Creation Rate (Annualized) for Women by Country, Sector, and Skill Level, 2016–24 (percent)</t>
  </si>
  <si>
    <t>Periods used for annualized changes</t>
  </si>
  <si>
    <t>Table A5 LABLAC Coverage and Comparability</t>
  </si>
  <si>
    <t>LABLAC latest survey availability</t>
  </si>
  <si>
    <t>Comparable periods</t>
  </si>
  <si>
    <t>Earnings (same as first column unless noted)</t>
  </si>
  <si>
    <t>Informality (same as first column unless noted)</t>
  </si>
  <si>
    <t>Coverage</t>
  </si>
  <si>
    <t>code</t>
  </si>
  <si>
    <t>start_year</t>
  </si>
  <si>
    <t>end_year</t>
  </si>
  <si>
    <t>Job creation aggregate (2016-2024)</t>
  </si>
  <si>
    <t>Earnings growth aggregate (2016-2024)</t>
  </si>
  <si>
    <t>Yes</t>
  </si>
  <si>
    <t>National</t>
  </si>
  <si>
    <t>ETH</t>
  </si>
  <si>
    <t>2016-Q4 to 2023-Q4</t>
  </si>
  <si>
    <t>2016-2019; 2021-2024</t>
  </si>
  <si>
    <t>2016-2019; 2021-2023</t>
  </si>
  <si>
    <t>2021-Q4 to 2023-Q4</t>
  </si>
  <si>
    <t>GMB</t>
  </si>
  <si>
    <t>2017-Q4 to 2024-Q4</t>
  </si>
  <si>
    <t>IDN</t>
  </si>
  <si>
    <t>2017-2024</t>
  </si>
  <si>
    <t>NA</t>
  </si>
  <si>
    <t>2017-2019; 2022-2024</t>
  </si>
  <si>
    <t>PAK</t>
  </si>
  <si>
    <t>2016-2022</t>
  </si>
  <si>
    <t>Lima-Callao</t>
  </si>
  <si>
    <t>RWA</t>
  </si>
  <si>
    <t>2016-2019; 2022-2024</t>
  </si>
  <si>
    <t>TUN</t>
  </si>
  <si>
    <t>*Colombia and Chile do not have labor income variables for 2024</t>
  </si>
  <si>
    <t>TUR</t>
  </si>
  <si>
    <t>* Nos han sugerido no usar Guatemala en 2021 ni 2022. Por eso sale del reporte.</t>
  </si>
  <si>
    <t>TZA</t>
  </si>
  <si>
    <t>* Peru: Lima y Callao</t>
  </si>
  <si>
    <t>ZAF</t>
  </si>
  <si>
    <t>Not used</t>
  </si>
  <si>
    <t>ZMB</t>
  </si>
  <si>
    <t>Table A6 Exceptions to Standard Time Periods: Cases Using Approximate Years</t>
  </si>
  <si>
    <t>2021 (Q2)- 2024 (Q2)</t>
  </si>
  <si>
    <t>2021 (Q2)- 2023 (Q2)</t>
  </si>
  <si>
    <t>2016 (Q2)- 2023 (Q2)</t>
  </si>
  <si>
    <t>2017 (Q2)-2019 (Q2)</t>
  </si>
  <si>
    <t>2017 (Q2)- 2024 (Q2)</t>
  </si>
  <si>
    <t>2022-Q2- 2024 (Q2)</t>
  </si>
  <si>
    <t>N.A</t>
  </si>
  <si>
    <t>2021-Q2- 2024 (Q2)</t>
  </si>
  <si>
    <t>Period 2016 -2022</t>
  </si>
  <si>
    <t>2017-2022</t>
  </si>
  <si>
    <t>2013-2021</t>
  </si>
  <si>
    <t>2018-2023</t>
  </si>
  <si>
    <t>2015-2021</t>
  </si>
  <si>
    <t>2017-2020</t>
  </si>
  <si>
    <t>2017-2021</t>
  </si>
  <si>
    <t>2016-2021</t>
  </si>
  <si>
    <t>2016-2017</t>
  </si>
  <si>
    <t>2014-2020</t>
  </si>
  <si>
    <t>2016-2020</t>
  </si>
  <si>
    <t>Period 2016-2022</t>
  </si>
  <si>
    <t>Armenia, Indonesia, Philippines</t>
  </si>
  <si>
    <t>Thailand, Viet Nam</t>
  </si>
  <si>
    <t>Definition</t>
  </si>
  <si>
    <r>
      <t xml:space="preserve">- </t>
    </r>
    <r>
      <rPr>
        <b/>
        <sz val="11"/>
        <color theme="1"/>
        <rFont val="Calibri"/>
        <family val="2"/>
      </rPr>
      <t>Large private:</t>
    </r>
    <r>
      <rPr>
        <sz val="11"/>
        <color theme="1"/>
        <rFont val="Calibri"/>
        <family val="2"/>
      </rPr>
      <t xml:space="preserve"> more than 5 employees
- </t>
    </r>
    <r>
      <rPr>
        <b/>
        <sz val="11"/>
        <color theme="1"/>
        <rFont val="Calibri"/>
        <family val="2"/>
      </rPr>
      <t>Small private:</t>
    </r>
    <r>
      <rPr>
        <sz val="11"/>
        <color theme="1"/>
        <rFont val="Calibri"/>
        <family val="2"/>
      </rPr>
      <t xml:space="preserve"> 5 or fewer employees
- </t>
    </r>
    <r>
      <rPr>
        <b/>
        <sz val="11"/>
        <color theme="1"/>
        <rFont val="Calibri"/>
        <family val="2"/>
      </rPr>
      <t>Public sector</t>
    </r>
  </si>
  <si>
    <t>Educational Attainment</t>
  </si>
  <si>
    <r>
      <t xml:space="preserve">- </t>
    </r>
    <r>
      <rPr>
        <b/>
        <sz val="11"/>
        <color theme="1"/>
        <rFont val="Calibri"/>
        <family val="2"/>
      </rPr>
      <t>Low skill:</t>
    </r>
    <r>
      <rPr>
        <sz val="11"/>
        <color theme="1"/>
        <rFont val="Calibri"/>
        <family val="2"/>
      </rPr>
      <t xml:space="preserve"> Never attended, Completed primary and Incomplete secondary
-</t>
    </r>
    <r>
      <rPr>
        <b/>
        <sz val="11"/>
        <color theme="1"/>
        <rFont val="Calibri"/>
        <family val="2"/>
      </rPr>
      <t xml:space="preserve"> Middle skill:</t>
    </r>
    <r>
      <rPr>
        <sz val="11"/>
        <color theme="1"/>
        <rFont val="Calibri"/>
        <family val="2"/>
      </rPr>
      <t xml:space="preserve"> Completed secondary and Incomplete higher education
- </t>
    </r>
    <r>
      <rPr>
        <b/>
        <sz val="11"/>
        <color theme="1"/>
        <rFont val="Calibri"/>
        <family val="2"/>
      </rPr>
      <t>High skill:</t>
    </r>
    <r>
      <rPr>
        <sz val="11"/>
        <color theme="1"/>
        <rFont val="Calibri"/>
        <family val="2"/>
      </rPr>
      <t xml:space="preserve"> Completed higher education</t>
    </r>
  </si>
  <si>
    <t>Informality - Productivity Definition</t>
  </si>
  <si>
    <t>Salaried workers in small firms, non-professional self-employed and zero-income worker</t>
  </si>
  <si>
    <t>Informality  - Social Protection Definition</t>
  </si>
  <si>
    <t xml:space="preserve">Salaried workers reports having the right to retirement benefits </t>
  </si>
  <si>
    <t xml:space="preserve">Earnings </t>
  </si>
  <si>
    <t>Labor incomes from the main occupation as employer, salaried, self-employed or other unspecified relationships</t>
  </si>
  <si>
    <t>Wages</t>
  </si>
  <si>
    <t>Hourly wage  for salaried workers in main occupation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</si>
</sst>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40" x14ac:knownFonts="1">
    <font>
      <sz val="11"/>
      <color theme="1"/>
      <name val="Aptos Narrow"/>
      <family val="2"/>
      <scheme val="minor"/>
    </font>
    <font>
      <b/>
      <sz val="11"/>
      <color theme="1"/>
      <name val="Aptos Narrow"/>
      <family val="2"/>
      <scheme val="minor"/>
    </font>
    <font>
      <sz val="11"/>
      <color theme="0"/>
      <name val="Aptos Narrow"/>
      <family val="2"/>
      <scheme val="minor"/>
    </font>
    <font>
      <sz val="11"/>
      <color rgb="FF000000"/>
      <name val="Aptos Narrow"/>
      <family val="2"/>
      <scheme val="minor"/>
    </font>
    <font>
      <b/>
      <sz val="11"/>
      <color theme="8"/>
      <name val="Aptos Narrow"/>
      <family val="2"/>
      <scheme val="minor"/>
    </font>
    <font>
      <u/>
      <sz val="11"/>
      <color theme="10"/>
      <name val="Aptos Narrow"/>
      <family val="2"/>
      <scheme val="minor"/>
    </font>
    <font>
      <sz val="14"/>
      <color rgb="FF595959"/>
      <name val="Aptos Narrow"/>
      <family val="2"/>
      <scheme val="minor"/>
    </font>
    <font>
      <sz val="11"/>
      <color theme="1"/>
      <name val="Calibri Light"/>
      <family val="2"/>
    </font>
    <font>
      <b/>
      <sz val="11"/>
      <color theme="1"/>
      <name val="Calibri Light"/>
      <family val="2"/>
    </font>
    <font>
      <sz val="11"/>
      <color rgb="FFFF0000"/>
      <name val="Calibri Light"/>
      <family val="2"/>
    </font>
    <font>
      <b/>
      <u/>
      <sz val="11"/>
      <color rgb="FFFF0000"/>
      <name val="Calibri Light"/>
      <family val="2"/>
    </font>
    <font>
      <sz val="11"/>
      <color theme="1"/>
      <name val="Aptos"/>
      <family val="2"/>
    </font>
    <font>
      <b/>
      <sz val="11"/>
      <color rgb="FFA02B93"/>
      <name val="Calibri"/>
      <family val="2"/>
    </font>
    <font>
      <sz val="11"/>
      <color rgb="FF000000"/>
      <name val="Calibri Light"/>
      <family val="2"/>
    </font>
    <font>
      <u/>
      <sz val="11"/>
      <color theme="10"/>
      <name val="Calibri Light"/>
      <family val="2"/>
    </font>
    <font>
      <b/>
      <sz val="9"/>
      <color rgb="FF000000"/>
      <name val="Calibri Light"/>
      <family val="2"/>
    </font>
    <font>
      <b/>
      <sz val="11"/>
      <color rgb="FF000000"/>
      <name val="Calibri Light"/>
      <family val="2"/>
    </font>
    <font>
      <b/>
      <sz val="11"/>
      <color rgb="FFA02B93"/>
      <name val="Aptos"/>
      <family val="2"/>
    </font>
    <font>
      <b/>
      <sz val="12"/>
      <color rgb="FF000000"/>
      <name val="Calibri"/>
      <family val="2"/>
    </font>
    <font>
      <sz val="11"/>
      <color rgb="FF000000"/>
      <name val="Calibri"/>
      <family val="2"/>
    </font>
    <font>
      <sz val="11"/>
      <color theme="1"/>
      <name val="Calibri"/>
      <family val="2"/>
    </font>
    <font>
      <b/>
      <sz val="11"/>
      <color theme="1"/>
      <name val="Calibri"/>
      <family val="2"/>
    </font>
    <font>
      <sz val="9"/>
      <color indexed="81"/>
      <name val="Tahoma"/>
      <family val="2"/>
    </font>
    <font>
      <b/>
      <sz val="10"/>
      <color rgb="FFA02B93"/>
      <name val="Calibri"/>
      <family val="2"/>
    </font>
    <font>
      <b/>
      <sz val="7"/>
      <color rgb="FFA02B93"/>
      <name val="Times New Roman"/>
      <family val="1"/>
    </font>
    <font>
      <b/>
      <sz val="14"/>
      <color rgb="FFA02B93"/>
      <name val="Calibri"/>
      <family val="2"/>
    </font>
    <font>
      <sz val="8"/>
      <color theme="1"/>
      <name val="Calibri Light"/>
      <family val="2"/>
    </font>
    <font>
      <b/>
      <sz val="9"/>
      <color rgb="FFFF0000"/>
      <name val="Calibri Light"/>
      <family val="2"/>
    </font>
    <font>
      <sz val="15"/>
      <color rgb="FFFF0000"/>
      <name val="Calibri Light"/>
      <family val="2"/>
    </font>
    <font>
      <b/>
      <sz val="11"/>
      <color rgb="FFA02B93"/>
      <name val="Aptos Narrow"/>
      <family val="2"/>
      <scheme val="minor"/>
    </font>
    <font>
      <b/>
      <sz val="11"/>
      <color theme="0"/>
      <name val="Calibri"/>
      <family val="2"/>
    </font>
    <font>
      <b/>
      <sz val="9"/>
      <color indexed="81"/>
      <name val="Tahoma"/>
      <family val="2"/>
    </font>
    <font>
      <sz val="11"/>
      <color theme="0"/>
      <name val="Calibri"/>
      <family val="2"/>
    </font>
    <font>
      <sz val="14"/>
      <color theme="1"/>
      <name val="Aptos Narrow"/>
      <family val="2"/>
      <scheme val="minor"/>
    </font>
    <font>
      <sz val="11"/>
      <name val="Calibri"/>
      <family val="2"/>
    </font>
    <font>
      <b/>
      <sz val="11"/>
      <name val="Calibri"/>
      <family val="2"/>
    </font>
    <font>
      <sz val="8"/>
      <color theme="1"/>
      <name val="Aptos Narrow"/>
      <family val="2"/>
      <scheme val="minor"/>
    </font>
    <font>
      <b/>
      <sz val="11"/>
      <color rgb="FFFFFFFF"/>
      <name val="Helvetica"/>
    </font>
    <font>
      <b/>
      <sz val="11"/>
      <color rgb="FF872B8E"/>
      <name val="Helvetica"/>
    </font>
    <font>
      <sz val="11"/>
      <color rgb="FF231F20"/>
      <name val="Helvetica"/>
    </font>
  </fonts>
  <fills count="24">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8"/>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7"/>
        <bgColor indexed="64"/>
      </patternFill>
    </fill>
    <fill>
      <patternFill patternType="solid">
        <fgColor theme="4"/>
        <bgColor indexed="64"/>
      </patternFill>
    </fill>
    <fill>
      <patternFill patternType="solid">
        <fgColor theme="9"/>
        <bgColor indexed="64"/>
      </patternFill>
    </fill>
    <fill>
      <patternFill patternType="solid">
        <fgColor rgb="FF4EA72E"/>
        <bgColor indexed="64"/>
      </patternFill>
    </fill>
    <fill>
      <patternFill patternType="solid">
        <fgColor rgb="FFD9A441"/>
        <bgColor indexed="64"/>
      </patternFill>
    </fill>
    <fill>
      <patternFill patternType="solid">
        <fgColor rgb="FF156082"/>
        <bgColor indexed="64"/>
      </patternFill>
    </fill>
    <fill>
      <patternFill patternType="solid">
        <fgColor theme="3" tint="0.89999084444715716"/>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rgb="FFA02B93"/>
        <bgColor indexed="64"/>
      </patternFill>
    </fill>
    <fill>
      <patternFill patternType="solid">
        <fgColor rgb="FFFFFF00"/>
        <bgColor rgb="FF000000"/>
      </patternFill>
    </fill>
    <fill>
      <patternFill patternType="solid">
        <fgColor rgb="FF872B8E"/>
        <bgColor indexed="64"/>
      </patternFill>
    </fill>
    <fill>
      <patternFill patternType="solid">
        <fgColor rgb="FFD1D3D4"/>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rgb="FF000000"/>
      </bottom>
      <diagonal/>
    </border>
    <border>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872B8E"/>
      </left>
      <right style="thin">
        <color rgb="FF872B8E"/>
      </right>
      <top/>
      <bottom style="thin">
        <color rgb="FF872B8E"/>
      </bottom>
      <diagonal/>
    </border>
    <border>
      <left style="thin">
        <color rgb="FF872B8E"/>
      </left>
      <right style="thin">
        <color rgb="FF872B8E"/>
      </right>
      <top style="thin">
        <color rgb="FF872B8E"/>
      </top>
      <bottom style="thin">
        <color rgb="FF872B8E"/>
      </bottom>
      <diagonal/>
    </border>
    <border>
      <left/>
      <right/>
      <top style="thin">
        <color indexed="64"/>
      </top>
      <bottom style="thin">
        <color indexed="64"/>
      </bottom>
      <diagonal/>
    </border>
  </borders>
  <cellStyleXfs count="3">
    <xf numFmtId="0" fontId="0" fillId="0" borderId="0"/>
    <xf numFmtId="0" fontId="3" fillId="0" borderId="0"/>
    <xf numFmtId="0" fontId="5" fillId="0" borderId="0" applyNumberFormat="0" applyFill="0" applyBorder="0" applyAlignment="0" applyProtection="0"/>
  </cellStyleXfs>
  <cellXfs count="223">
    <xf numFmtId="0" fontId="0" fillId="0" borderId="0" xfId="0"/>
    <xf numFmtId="0" fontId="3" fillId="0" borderId="0" xfId="1"/>
    <xf numFmtId="2" fontId="3" fillId="0" borderId="0" xfId="1" applyNumberFormat="1" applyAlignment="1">
      <alignment horizontal="center"/>
    </xf>
    <xf numFmtId="0" fontId="3" fillId="0" borderId="1" xfId="1" applyBorder="1"/>
    <xf numFmtId="2" fontId="3" fillId="0" borderId="1" xfId="1" applyNumberFormat="1" applyBorder="1" applyAlignment="1">
      <alignment horizontal="center"/>
    </xf>
    <xf numFmtId="0" fontId="1" fillId="0" borderId="0" xfId="0" applyFont="1" applyAlignment="1">
      <alignment horizontal="center"/>
    </xf>
    <xf numFmtId="0" fontId="0" fillId="0" borderId="0" xfId="0" applyAlignment="1">
      <alignment horizontal="center"/>
    </xf>
    <xf numFmtId="0" fontId="5" fillId="0" borderId="0" xfId="2"/>
    <xf numFmtId="0" fontId="7" fillId="2" borderId="1" xfId="0" applyFont="1" applyFill="1" applyBorder="1" applyAlignment="1">
      <alignment horizontal="center"/>
    </xf>
    <xf numFmtId="0" fontId="7" fillId="0" borderId="0" xfId="0" applyFont="1" applyAlignment="1">
      <alignment horizontal="center"/>
    </xf>
    <xf numFmtId="0" fontId="7" fillId="0" borderId="0" xfId="0" applyFont="1"/>
    <xf numFmtId="0" fontId="1" fillId="0" borderId="0" xfId="0" applyFont="1" applyAlignment="1">
      <alignment horizontal="left"/>
    </xf>
    <xf numFmtId="0" fontId="7" fillId="2" borderId="1" xfId="0" applyFont="1" applyFill="1" applyBorder="1"/>
    <xf numFmtId="0" fontId="7" fillId="0" borderId="1" xfId="0" applyFont="1" applyBorder="1"/>
    <xf numFmtId="164" fontId="7" fillId="0" borderId="1" xfId="0" applyNumberFormat="1" applyFont="1" applyBorder="1"/>
    <xf numFmtId="164" fontId="7" fillId="0" borderId="0" xfId="0" applyNumberFormat="1" applyFont="1"/>
    <xf numFmtId="0" fontId="7" fillId="0" borderId="1" xfId="0" applyFont="1" applyBorder="1" applyAlignment="1">
      <alignment horizontal="center"/>
    </xf>
    <xf numFmtId="0" fontId="8" fillId="0" borderId="0" xfId="0" applyFont="1" applyAlignment="1">
      <alignment horizontal="left" vertical="top" wrapText="1"/>
    </xf>
    <xf numFmtId="164" fontId="7" fillId="0" borderId="1" xfId="0" applyNumberFormat="1" applyFont="1" applyBorder="1" applyAlignment="1">
      <alignment horizontal="center"/>
    </xf>
    <xf numFmtId="0" fontId="10" fillId="0" borderId="0" xfId="0" applyFont="1"/>
    <xf numFmtId="0" fontId="7" fillId="0" borderId="0" xfId="0" applyFont="1" applyAlignment="1">
      <alignment wrapText="1"/>
    </xf>
    <xf numFmtId="164" fontId="7" fillId="2" borderId="1" xfId="0" applyNumberFormat="1" applyFont="1" applyFill="1" applyBorder="1"/>
    <xf numFmtId="0" fontId="12" fillId="0" borderId="0" xfId="0" applyFont="1" applyAlignment="1">
      <alignment vertical="center"/>
    </xf>
    <xf numFmtId="0" fontId="13" fillId="0" borderId="0" xfId="1" applyFont="1"/>
    <xf numFmtId="0" fontId="14" fillId="0" borderId="0" xfId="2" quotePrefix="1" applyFont="1" applyFill="1"/>
    <xf numFmtId="0" fontId="13" fillId="0" borderId="1" xfId="1" applyFont="1" applyBorder="1" applyAlignment="1">
      <alignment horizontal="center"/>
    </xf>
    <xf numFmtId="0" fontId="13" fillId="0" borderId="0" xfId="1" applyFont="1" applyAlignment="1">
      <alignment horizontal="center"/>
    </xf>
    <xf numFmtId="164" fontId="13" fillId="0" borderId="1" xfId="1" applyNumberFormat="1" applyFont="1" applyBorder="1" applyAlignment="1">
      <alignment horizontal="center"/>
    </xf>
    <xf numFmtId="0" fontId="9" fillId="0" borderId="0" xfId="1" applyFont="1" applyAlignment="1">
      <alignment wrapText="1"/>
    </xf>
    <xf numFmtId="0" fontId="1" fillId="0" borderId="1" xfId="0" applyFont="1" applyBorder="1"/>
    <xf numFmtId="0" fontId="1" fillId="0" borderId="1" xfId="0" applyFont="1" applyBorder="1" applyAlignment="1">
      <alignment horizontal="center"/>
    </xf>
    <xf numFmtId="0" fontId="0" fillId="0" borderId="1" xfId="0" applyBorder="1"/>
    <xf numFmtId="3" fontId="0" fillId="0" borderId="1" xfId="0" applyNumberFormat="1" applyBorder="1"/>
    <xf numFmtId="0" fontId="0" fillId="0" borderId="0" xfId="0" applyAlignment="1">
      <alignment horizontal="left"/>
    </xf>
    <xf numFmtId="3" fontId="0" fillId="0" borderId="0" xfId="0" applyNumberFormat="1"/>
    <xf numFmtId="0" fontId="12" fillId="0" borderId="0" xfId="0" applyFont="1"/>
    <xf numFmtId="164" fontId="0" fillId="0" borderId="0" xfId="0" applyNumberFormat="1"/>
    <xf numFmtId="0" fontId="0" fillId="2" borderId="0" xfId="0" applyFill="1"/>
    <xf numFmtId="0" fontId="17" fillId="0" borderId="0" xfId="0" applyFont="1" applyAlignment="1">
      <alignment vertical="center"/>
    </xf>
    <xf numFmtId="0" fontId="1" fillId="0" borderId="1" xfId="0" applyFont="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164" fontId="0" fillId="0" borderId="0" xfId="0" applyNumberFormat="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2" fontId="0" fillId="0" borderId="1" xfId="0" applyNumberFormat="1" applyBorder="1" applyAlignment="1">
      <alignment horizontal="center"/>
    </xf>
    <xf numFmtId="2" fontId="0" fillId="0" borderId="0" xfId="0" applyNumberFormat="1" applyAlignment="1">
      <alignment horizontal="center"/>
    </xf>
    <xf numFmtId="0" fontId="17" fillId="0" borderId="0" xfId="0" applyFont="1"/>
    <xf numFmtId="0" fontId="2" fillId="4" borderId="0" xfId="0" applyFont="1" applyFill="1"/>
    <xf numFmtId="0" fontId="2" fillId="5" borderId="0" xfId="0" applyFont="1" applyFill="1"/>
    <xf numFmtId="0" fontId="2" fillId="6" borderId="0" xfId="0" applyFont="1" applyFill="1"/>
    <xf numFmtId="0" fontId="2" fillId="7" borderId="0" xfId="0" applyFont="1" applyFill="1"/>
    <xf numFmtId="0" fontId="3" fillId="2" borderId="0" xfId="1" applyFill="1"/>
    <xf numFmtId="0" fontId="3" fillId="8" borderId="0" xfId="1" applyFill="1"/>
    <xf numFmtId="0" fontId="0" fillId="8" borderId="0" xfId="0" applyFill="1"/>
    <xf numFmtId="164" fontId="0" fillId="8" borderId="0" xfId="0" applyNumberFormat="1" applyFill="1"/>
    <xf numFmtId="0" fontId="0" fillId="9" borderId="0" xfId="0" applyFill="1"/>
    <xf numFmtId="164" fontId="0" fillId="9" borderId="0" xfId="0" applyNumberFormat="1" applyFill="1"/>
    <xf numFmtId="0" fontId="0" fillId="10" borderId="0" xfId="0" applyFill="1"/>
    <xf numFmtId="164" fontId="0" fillId="10" borderId="0" xfId="0" applyNumberFormat="1" applyFill="1"/>
    <xf numFmtId="1" fontId="0" fillId="8" borderId="0" xfId="0" applyNumberFormat="1" applyFill="1"/>
    <xf numFmtId="0" fontId="3" fillId="0" borderId="3" xfId="1" applyBorder="1"/>
    <xf numFmtId="0" fontId="3" fillId="0" borderId="1" xfId="1" applyBorder="1" applyAlignment="1">
      <alignment horizontal="center"/>
    </xf>
    <xf numFmtId="0" fontId="18" fillId="0" borderId="0" xfId="1" applyFont="1"/>
    <xf numFmtId="0" fontId="18" fillId="0" borderId="1" xfId="1" applyFont="1" applyBorder="1" applyAlignment="1">
      <alignment horizontal="center"/>
    </xf>
    <xf numFmtId="1" fontId="19" fillId="0" borderId="5" xfId="1" applyNumberFormat="1" applyFont="1" applyBorder="1"/>
    <xf numFmtId="1" fontId="19" fillId="0" borderId="1" xfId="1" applyNumberFormat="1" applyFont="1" applyBorder="1"/>
    <xf numFmtId="1" fontId="19" fillId="0" borderId="1" xfId="1" applyNumberFormat="1" applyFont="1" applyBorder="1" applyAlignment="1">
      <alignment horizontal="center" vertical="center"/>
    </xf>
    <xf numFmtId="0" fontId="18" fillId="0" borderId="6" xfId="1" applyFont="1" applyBorder="1" applyAlignment="1">
      <alignment horizontal="center"/>
    </xf>
    <xf numFmtId="164" fontId="19" fillId="0" borderId="1" xfId="1" applyNumberFormat="1" applyFont="1" applyBorder="1"/>
    <xf numFmtId="164" fontId="3" fillId="0" borderId="5" xfId="1" applyNumberFormat="1" applyBorder="1"/>
    <xf numFmtId="164" fontId="3" fillId="0" borderId="1" xfId="1" applyNumberFormat="1" applyBorder="1"/>
    <xf numFmtId="2" fontId="3" fillId="0" borderId="1" xfId="1" applyNumberFormat="1" applyBorder="1" applyAlignment="1">
      <alignment horizontal="center" vertical="center"/>
    </xf>
    <xf numFmtId="0" fontId="3" fillId="0" borderId="1" xfId="1" applyBorder="1" applyAlignment="1">
      <alignment horizontal="center" vertical="center"/>
    </xf>
    <xf numFmtId="164" fontId="3" fillId="3" borderId="5" xfId="1" applyNumberFormat="1" applyFill="1" applyBorder="1"/>
    <xf numFmtId="164" fontId="3" fillId="3" borderId="1" xfId="1" applyNumberFormat="1" applyFill="1" applyBorder="1"/>
    <xf numFmtId="2" fontId="3" fillId="3" borderId="1" xfId="1" applyNumberFormat="1" applyFill="1" applyBorder="1" applyAlignment="1">
      <alignment horizontal="center" vertical="center"/>
    </xf>
    <xf numFmtId="0" fontId="3" fillId="3" borderId="1" xfId="1" applyFill="1" applyBorder="1" applyAlignment="1">
      <alignment horizontal="center" vertical="center"/>
    </xf>
    <xf numFmtId="0" fontId="3" fillId="3" borderId="0" xfId="1" applyFill="1"/>
    <xf numFmtId="165" fontId="0" fillId="0" borderId="0" xfId="0" applyNumberFormat="1"/>
    <xf numFmtId="1" fontId="0" fillId="0" borderId="1" xfId="0" applyNumberFormat="1" applyBorder="1"/>
    <xf numFmtId="0" fontId="20" fillId="0" borderId="0" xfId="0" applyFont="1"/>
    <xf numFmtId="0" fontId="21" fillId="0" borderId="1" xfId="0" applyFont="1" applyBorder="1"/>
    <xf numFmtId="0" fontId="21" fillId="0" borderId="1" xfId="0" applyFont="1" applyBorder="1" applyAlignment="1">
      <alignment horizontal="left"/>
    </xf>
    <xf numFmtId="0" fontId="21" fillId="0" borderId="1" xfId="0" applyFont="1" applyBorder="1" applyAlignment="1">
      <alignment horizontal="left" vertical="center"/>
    </xf>
    <xf numFmtId="0" fontId="20" fillId="0" borderId="0" xfId="0" applyFont="1" applyAlignment="1">
      <alignment horizontal="right"/>
    </xf>
    <xf numFmtId="0" fontId="20" fillId="0" borderId="1" xfId="0" applyFont="1" applyBorder="1"/>
    <xf numFmtId="2" fontId="20" fillId="0" borderId="1" xfId="0" applyNumberFormat="1" applyFont="1" applyBorder="1"/>
    <xf numFmtId="0" fontId="20" fillId="0" borderId="1" xfId="0" applyFont="1" applyBorder="1" applyAlignment="1">
      <alignment horizontal="right"/>
    </xf>
    <xf numFmtId="164" fontId="20" fillId="0" borderId="1" xfId="0" applyNumberFormat="1" applyFont="1" applyBorder="1" applyAlignment="1">
      <alignment horizontal="center"/>
    </xf>
    <xf numFmtId="164" fontId="20" fillId="0" borderId="1" xfId="0" applyNumberFormat="1" applyFont="1" applyBorder="1"/>
    <xf numFmtId="0" fontId="23" fillId="0" borderId="0" xfId="0" applyFont="1" applyAlignment="1">
      <alignment horizontal="left" vertical="center" indent="9"/>
    </xf>
    <xf numFmtId="164" fontId="0" fillId="0" borderId="1" xfId="0" applyNumberFormat="1" applyBorder="1"/>
    <xf numFmtId="0" fontId="0" fillId="11" borderId="0" xfId="0" applyFill="1"/>
    <xf numFmtId="0" fontId="2" fillId="12" borderId="0" xfId="0" applyFont="1" applyFill="1"/>
    <xf numFmtId="0" fontId="2" fillId="13" borderId="0" xfId="0" applyFont="1" applyFill="1"/>
    <xf numFmtId="0" fontId="0" fillId="14" borderId="0" xfId="0" applyFill="1"/>
    <xf numFmtId="0" fontId="0" fillId="15" borderId="0" xfId="0" applyFill="1"/>
    <xf numFmtId="0" fontId="0" fillId="16" borderId="0" xfId="0" applyFill="1"/>
    <xf numFmtId="0" fontId="0" fillId="17" borderId="0" xfId="0" applyFill="1"/>
    <xf numFmtId="0" fontId="25" fillId="0" borderId="0" xfId="0" applyFont="1" applyAlignment="1">
      <alignment vertical="center"/>
    </xf>
    <xf numFmtId="164" fontId="0" fillId="2" borderId="0" xfId="0" applyNumberFormat="1" applyFill="1"/>
    <xf numFmtId="164" fontId="0" fillId="17" borderId="0" xfId="0" applyNumberFormat="1" applyFill="1"/>
    <xf numFmtId="0" fontId="0" fillId="18" borderId="0" xfId="0" applyFill="1"/>
    <xf numFmtId="164" fontId="0" fillId="18" borderId="0" xfId="0" applyNumberFormat="1" applyFill="1"/>
    <xf numFmtId="0" fontId="0" fillId="0" borderId="2" xfId="0" applyBorder="1"/>
    <xf numFmtId="0" fontId="0" fillId="8" borderId="2" xfId="0" applyFill="1" applyBorder="1" applyAlignment="1">
      <alignment horizontal="center"/>
    </xf>
    <xf numFmtId="2" fontId="0" fillId="0" borderId="2" xfId="0" applyNumberFormat="1" applyBorder="1" applyAlignment="1">
      <alignment horizontal="center"/>
    </xf>
    <xf numFmtId="0" fontId="14" fillId="0" borderId="0" xfId="2" quotePrefix="1" applyFont="1"/>
    <xf numFmtId="0" fontId="14" fillId="0" borderId="0" xfId="2" applyFont="1"/>
    <xf numFmtId="0" fontId="7" fillId="0" borderId="0" xfId="0" applyFont="1" applyAlignment="1">
      <alignment horizontal="left"/>
    </xf>
    <xf numFmtId="0" fontId="26" fillId="0" borderId="0" xfId="0" applyFont="1" applyAlignment="1">
      <alignment vertical="top" wrapText="1"/>
    </xf>
    <xf numFmtId="0" fontId="27" fillId="0" borderId="0" xfId="0" applyFont="1" applyAlignment="1">
      <alignment horizontal="left" vertical="top" wrapText="1"/>
    </xf>
    <xf numFmtId="0" fontId="26" fillId="0" borderId="0" xfId="0" applyFont="1" applyAlignment="1">
      <alignment horizontal="left" vertical="top" wrapText="1"/>
    </xf>
    <xf numFmtId="0" fontId="28" fillId="0" borderId="0" xfId="0" applyFont="1" applyAlignment="1">
      <alignment horizontal="left" vertical="top" wrapText="1"/>
    </xf>
    <xf numFmtId="0" fontId="8" fillId="0" borderId="0" xfId="0" applyFont="1" applyAlignment="1">
      <alignment horizontal="left"/>
    </xf>
    <xf numFmtId="0" fontId="7" fillId="0" borderId="1" xfId="0" applyFont="1" applyBorder="1" applyAlignment="1">
      <alignment horizontal="left"/>
    </xf>
    <xf numFmtId="0" fontId="8" fillId="0" borderId="1" xfId="0" applyFont="1" applyBorder="1" applyAlignment="1">
      <alignment horizontal="center" vertical="center"/>
    </xf>
    <xf numFmtId="0" fontId="8" fillId="0" borderId="1" xfId="0" applyFont="1" applyBorder="1" applyAlignment="1">
      <alignment horizontal="center"/>
    </xf>
    <xf numFmtId="2" fontId="7" fillId="0" borderId="1" xfId="0" applyNumberFormat="1" applyFont="1" applyBorder="1" applyAlignment="1">
      <alignment horizontal="center"/>
    </xf>
    <xf numFmtId="165" fontId="7" fillId="0" borderId="1" xfId="0" applyNumberFormat="1" applyFont="1" applyBorder="1" applyAlignment="1">
      <alignment horizontal="center"/>
    </xf>
    <xf numFmtId="0" fontId="8" fillId="0" borderId="0" xfId="0" applyFont="1"/>
    <xf numFmtId="0" fontId="30" fillId="4" borderId="3" xfId="0" applyFont="1" applyFill="1" applyBorder="1" applyAlignment="1">
      <alignment horizontal="center" vertical="center" wrapText="1"/>
    </xf>
    <xf numFmtId="0" fontId="21" fillId="0" borderId="1" xfId="0" applyFont="1" applyBorder="1" applyAlignment="1">
      <alignment horizontal="center" vertical="top"/>
    </xf>
    <xf numFmtId="0" fontId="20" fillId="0" borderId="1" xfId="0" applyFont="1" applyBorder="1" applyAlignment="1">
      <alignment horizontal="center"/>
    </xf>
    <xf numFmtId="0" fontId="20" fillId="3" borderId="1" xfId="0" applyFont="1" applyFill="1" applyBorder="1"/>
    <xf numFmtId="0" fontId="20" fillId="9" borderId="1" xfId="0" applyFont="1" applyFill="1" applyBorder="1"/>
    <xf numFmtId="0" fontId="20" fillId="3" borderId="0" xfId="0" applyFont="1" applyFill="1" applyAlignment="1">
      <alignment horizontal="left"/>
    </xf>
    <xf numFmtId="0" fontId="20" fillId="3" borderId="0" xfId="0" applyFont="1" applyFill="1" applyAlignment="1">
      <alignment horizontal="center"/>
    </xf>
    <xf numFmtId="0" fontId="20" fillId="0" borderId="1" xfId="0" applyFont="1" applyBorder="1" applyAlignment="1">
      <alignment horizontal="left" vertical="center"/>
    </xf>
    <xf numFmtId="0" fontId="20" fillId="0" borderId="10" xfId="0" applyFont="1" applyBorder="1" applyAlignment="1">
      <alignment horizontal="left" vertical="center"/>
    </xf>
    <xf numFmtId="0" fontId="11" fillId="0" borderId="0" xfId="0" applyFont="1" applyAlignment="1">
      <alignment vertical="center"/>
    </xf>
    <xf numFmtId="0" fontId="0" fillId="0" borderId="1" xfId="0" applyBorder="1" applyAlignment="1">
      <alignment horizontal="left" vertical="center"/>
    </xf>
    <xf numFmtId="0" fontId="0" fillId="0" borderId="1" xfId="0" applyBorder="1" applyAlignment="1">
      <alignment horizontal="left"/>
    </xf>
    <xf numFmtId="0" fontId="20" fillId="0" borderId="0" xfId="0" applyFont="1" applyAlignment="1">
      <alignment horizontal="center"/>
    </xf>
    <xf numFmtId="0" fontId="21" fillId="0" borderId="1" xfId="0" applyFont="1" applyBorder="1" applyAlignment="1">
      <alignment horizontal="center" vertical="center"/>
    </xf>
    <xf numFmtId="0" fontId="20" fillId="0" borderId="1" xfId="0" quotePrefix="1" applyFont="1" applyBorder="1" applyAlignment="1">
      <alignment horizontal="left" vertical="center" wrapText="1"/>
    </xf>
    <xf numFmtId="0" fontId="20" fillId="0" borderId="1" xfId="0" quotePrefix="1" applyFont="1" applyBorder="1" applyAlignment="1">
      <alignment horizontal="left" wrapText="1"/>
    </xf>
    <xf numFmtId="0" fontId="20" fillId="0" borderId="1" xfId="0" applyFont="1" applyBorder="1" applyAlignment="1">
      <alignment horizontal="left" vertical="center" wrapText="1"/>
    </xf>
    <xf numFmtId="0" fontId="20" fillId="0" borderId="1" xfId="0" applyFont="1" applyBorder="1" applyAlignment="1">
      <alignment horizontal="left" wrapText="1"/>
    </xf>
    <xf numFmtId="0" fontId="21" fillId="0" borderId="1" xfId="0" applyFont="1" applyBorder="1" applyAlignment="1">
      <alignment horizontal="center"/>
    </xf>
    <xf numFmtId="0" fontId="1" fillId="0" borderId="0" xfId="0" applyFont="1"/>
    <xf numFmtId="0" fontId="5" fillId="0" borderId="0" xfId="2" quotePrefix="1"/>
    <xf numFmtId="0" fontId="0" fillId="0" borderId="1" xfId="0" applyBorder="1" applyAlignment="1">
      <alignment horizontal="center" vertical="center" wrapText="1"/>
    </xf>
    <xf numFmtId="0" fontId="0" fillId="8" borderId="1" xfId="0" applyFill="1" applyBorder="1" applyAlignment="1">
      <alignment horizontal="center" vertical="center" wrapText="1"/>
    </xf>
    <xf numFmtId="0" fontId="0" fillId="9" borderId="1" xfId="0" applyFill="1" applyBorder="1" applyAlignment="1">
      <alignment horizontal="center" vertical="center" wrapText="1"/>
    </xf>
    <xf numFmtId="0" fontId="0" fillId="2" borderId="1" xfId="0" applyFill="1" applyBorder="1" applyAlignment="1">
      <alignment horizontal="center" vertical="center" wrapText="1"/>
    </xf>
    <xf numFmtId="0" fontId="34" fillId="0" borderId="11" xfId="0" applyFont="1" applyBorder="1"/>
    <xf numFmtId="2" fontId="0" fillId="3" borderId="1" xfId="0" applyNumberFormat="1" applyFill="1" applyBorder="1" applyAlignment="1">
      <alignment horizontal="center"/>
    </xf>
    <xf numFmtId="164" fontId="0" fillId="3" borderId="1" xfId="0" applyNumberFormat="1" applyFill="1" applyBorder="1" applyAlignment="1">
      <alignment horizontal="center"/>
    </xf>
    <xf numFmtId="0" fontId="35" fillId="21" borderId="0" xfId="0" applyFont="1" applyFill="1"/>
    <xf numFmtId="164" fontId="0" fillId="8" borderId="1" xfId="0" applyNumberFormat="1" applyFill="1" applyBorder="1" applyAlignment="1">
      <alignment horizontal="center"/>
    </xf>
    <xf numFmtId="0" fontId="35" fillId="21" borderId="11" xfId="0" applyFont="1" applyFill="1" applyBorder="1"/>
    <xf numFmtId="164" fontId="1" fillId="9" borderId="1" xfId="0" applyNumberFormat="1" applyFont="1" applyFill="1" applyBorder="1" applyAlignment="1">
      <alignment horizontal="center"/>
    </xf>
    <xf numFmtId="164" fontId="0" fillId="2" borderId="1" xfId="0" applyNumberFormat="1" applyFill="1" applyBorder="1" applyAlignment="1">
      <alignment horizontal="center"/>
    </xf>
    <xf numFmtId="2" fontId="0" fillId="0" borderId="0" xfId="0" applyNumberFormat="1"/>
    <xf numFmtId="0" fontId="36" fillId="0" borderId="0" xfId="0" applyFont="1" applyAlignment="1">
      <alignment vertical="top" wrapText="1"/>
    </xf>
    <xf numFmtId="0" fontId="5" fillId="0" borderId="1" xfId="2" applyBorder="1"/>
    <xf numFmtId="0" fontId="21" fillId="0" borderId="1" xfId="0" applyFont="1" applyBorder="1" applyAlignment="1">
      <alignment horizontal="center" vertical="center" wrapText="1"/>
    </xf>
    <xf numFmtId="2" fontId="20" fillId="8" borderId="1" xfId="0" applyNumberFormat="1" applyFont="1" applyFill="1" applyBorder="1"/>
    <xf numFmtId="0" fontId="4" fillId="0" borderId="0" xfId="0" applyFont="1"/>
    <xf numFmtId="0" fontId="37" fillId="22" borderId="0" xfId="0" applyFont="1" applyFill="1" applyAlignment="1">
      <alignment horizontal="center" vertical="center" wrapText="1"/>
    </xf>
    <xf numFmtId="0" fontId="38" fillId="23" borderId="12" xfId="0" applyFont="1" applyFill="1" applyBorder="1" applyAlignment="1">
      <alignment horizontal="center" vertical="center" wrapText="1"/>
    </xf>
    <xf numFmtId="0" fontId="39" fillId="0" borderId="13" xfId="0" applyFont="1" applyBorder="1" applyAlignment="1">
      <alignment horizontal="center" vertical="center" wrapText="1"/>
    </xf>
    <xf numFmtId="0" fontId="2" fillId="22" borderId="1" xfId="0" applyFont="1" applyFill="1" applyBorder="1" applyAlignment="1">
      <alignment horizontal="center" textRotation="90"/>
    </xf>
    <xf numFmtId="0" fontId="2" fillId="22" borderId="1" xfId="0" applyFont="1" applyFill="1" applyBorder="1"/>
    <xf numFmtId="0" fontId="2" fillId="22" borderId="1" xfId="0" applyFont="1" applyFill="1" applyBorder="1" applyAlignment="1">
      <alignment horizontal="center" vertical="center" textRotation="90"/>
    </xf>
    <xf numFmtId="0" fontId="30" fillId="22" borderId="3" xfId="0" applyFont="1" applyFill="1" applyBorder="1" applyAlignment="1">
      <alignment horizontal="center" vertical="center" wrapText="1"/>
    </xf>
    <xf numFmtId="0" fontId="30" fillId="22" borderId="1" xfId="0" applyFont="1" applyFill="1" applyBorder="1" applyAlignment="1">
      <alignment horizontal="center" vertical="center" wrapText="1"/>
    </xf>
    <xf numFmtId="0" fontId="32" fillId="22" borderId="3" xfId="0" applyFont="1" applyFill="1" applyBorder="1" applyAlignment="1">
      <alignment horizontal="center" vertical="center" wrapText="1"/>
    </xf>
    <xf numFmtId="0" fontId="1" fillId="2" borderId="1" xfId="0" applyFont="1" applyFill="1" applyBorder="1" applyAlignment="1">
      <alignment horizontal="center"/>
    </xf>
    <xf numFmtId="0" fontId="1" fillId="0" borderId="2" xfId="0" applyFont="1" applyBorder="1" applyAlignment="1">
      <alignment horizontal="center"/>
    </xf>
    <xf numFmtId="0" fontId="33" fillId="0" borderId="0" xfId="0" applyFont="1" applyAlignment="1">
      <alignment horizontal="left"/>
    </xf>
    <xf numFmtId="0" fontId="1" fillId="0" borderId="0" xfId="0" applyFont="1" applyAlignment="1">
      <alignment horizontal="left" vertical="center" wrapText="1"/>
    </xf>
    <xf numFmtId="0" fontId="1" fillId="0" borderId="0" xfId="0" applyFont="1" applyAlignment="1">
      <alignment horizontal="left" vertical="center"/>
    </xf>
    <xf numFmtId="0" fontId="4" fillId="0" borderId="0" xfId="1" applyFont="1" applyAlignment="1">
      <alignment horizontal="left"/>
    </xf>
    <xf numFmtId="0" fontId="3" fillId="0" borderId="3" xfId="1" applyBorder="1" applyAlignment="1">
      <alignment horizontal="center" vertical="center"/>
    </xf>
    <xf numFmtId="0" fontId="3" fillId="0" borderId="9" xfId="1" applyBorder="1" applyAlignment="1">
      <alignment horizontal="center" vertical="center"/>
    </xf>
    <xf numFmtId="0" fontId="3" fillId="0" borderId="10" xfId="1" applyBorder="1" applyAlignment="1">
      <alignment horizontal="center" vertical="center"/>
    </xf>
    <xf numFmtId="0" fontId="6" fillId="0" borderId="0" xfId="0" applyFont="1" applyAlignment="1">
      <alignment horizontal="left" vertical="center" readingOrder="1"/>
    </xf>
    <xf numFmtId="0" fontId="7" fillId="2" borderId="1" xfId="0" applyFont="1" applyFill="1" applyBorder="1" applyAlignment="1">
      <alignment horizontal="center"/>
    </xf>
    <xf numFmtId="0" fontId="8" fillId="0" borderId="0" xfId="0" applyFont="1" applyAlignment="1">
      <alignment horizontal="left" vertical="top" wrapText="1"/>
    </xf>
    <xf numFmtId="0" fontId="7" fillId="0" borderId="0" xfId="0" applyFont="1" applyAlignment="1">
      <alignment horizontal="left" vertical="center"/>
    </xf>
    <xf numFmtId="0" fontId="13" fillId="0" borderId="0" xfId="1" applyFont="1" applyAlignment="1">
      <alignment horizontal="left" vertical="center" wrapText="1"/>
    </xf>
    <xf numFmtId="0" fontId="8" fillId="0" borderId="0" xfId="1" applyFont="1" applyAlignment="1">
      <alignment horizontal="left"/>
    </xf>
    <xf numFmtId="0" fontId="13" fillId="0" borderId="1" xfId="1" applyFont="1" applyBorder="1" applyAlignment="1">
      <alignment horizontal="center"/>
    </xf>
    <xf numFmtId="0" fontId="15" fillId="0" borderId="0" xfId="1" applyFont="1" applyAlignment="1">
      <alignment horizontal="left" vertical="top" wrapText="1"/>
    </xf>
    <xf numFmtId="0" fontId="16" fillId="0" borderId="0" xfId="1" applyFont="1" applyAlignment="1">
      <alignment horizontal="left"/>
    </xf>
    <xf numFmtId="0" fontId="0" fillId="0" borderId="2" xfId="0" applyBorder="1" applyAlignment="1">
      <alignment horizontal="center"/>
    </xf>
    <xf numFmtId="0" fontId="3" fillId="0" borderId="0" xfId="1" applyAlignment="1">
      <alignment horizontal="center"/>
    </xf>
    <xf numFmtId="0" fontId="18" fillId="0" borderId="4" xfId="1" applyFont="1" applyBorder="1" applyAlignment="1">
      <alignment horizontal="center" vertical="center"/>
    </xf>
    <xf numFmtId="0" fontId="18" fillId="0" borderId="5" xfId="1" applyFont="1" applyBorder="1" applyAlignment="1">
      <alignment horizontal="center" vertical="center"/>
    </xf>
    <xf numFmtId="0" fontId="12" fillId="0" borderId="0" xfId="0" applyFont="1" applyAlignment="1">
      <alignment horizontal="left" vertical="top"/>
    </xf>
    <xf numFmtId="164" fontId="0" fillId="0" borderId="1" xfId="0" applyNumberFormat="1" applyBorder="1" applyAlignment="1">
      <alignment horizontal="center"/>
    </xf>
    <xf numFmtId="0" fontId="0" fillId="19" borderId="0" xfId="0" applyFill="1" applyAlignment="1">
      <alignment horizontal="center"/>
    </xf>
    <xf numFmtId="0" fontId="0" fillId="0" borderId="0" xfId="0" applyAlignment="1">
      <alignment horizontal="center"/>
    </xf>
    <xf numFmtId="0" fontId="7" fillId="0" borderId="7" xfId="0" applyFont="1" applyBorder="1" applyAlignment="1">
      <alignment horizontal="left" vertical="top" wrapText="1"/>
    </xf>
    <xf numFmtId="0" fontId="7" fillId="0" borderId="0" xfId="0" applyFont="1" applyAlignment="1">
      <alignment horizontal="left" vertical="top" wrapText="1"/>
    </xf>
    <xf numFmtId="0" fontId="27" fillId="0" borderId="7" xfId="0" applyFont="1" applyBorder="1" applyAlignment="1">
      <alignment horizontal="left" vertical="top" wrapText="1"/>
    </xf>
    <xf numFmtId="0" fontId="27" fillId="0" borderId="0" xfId="0" applyFont="1" applyAlignment="1">
      <alignment horizontal="left" vertical="top" wrapText="1"/>
    </xf>
    <xf numFmtId="0" fontId="29" fillId="0" borderId="0" xfId="0" applyFont="1" applyAlignment="1">
      <alignment horizontal="left"/>
    </xf>
    <xf numFmtId="0" fontId="2" fillId="22" borderId="4" xfId="0" applyFont="1" applyFill="1" applyBorder="1" applyAlignment="1">
      <alignment horizontal="center"/>
    </xf>
    <xf numFmtId="0" fontId="2" fillId="22" borderId="14" xfId="0" applyFont="1" applyFill="1" applyBorder="1" applyAlignment="1">
      <alignment horizontal="center"/>
    </xf>
    <xf numFmtId="0" fontId="2" fillId="22" borderId="5" xfId="0" applyFont="1" applyFill="1" applyBorder="1" applyAlignment="1">
      <alignment horizontal="center"/>
    </xf>
    <xf numFmtId="0" fontId="29" fillId="0" borderId="2" xfId="0" applyFont="1" applyBorder="1" applyAlignment="1">
      <alignment horizontal="left"/>
    </xf>
    <xf numFmtId="0" fontId="2" fillId="22" borderId="1" xfId="0" applyFont="1" applyFill="1" applyBorder="1" applyAlignment="1">
      <alignment horizontal="center"/>
    </xf>
    <xf numFmtId="0" fontId="2" fillId="20" borderId="1" xfId="0" applyFont="1" applyFill="1" applyBorder="1" applyAlignment="1">
      <alignment horizontal="center"/>
    </xf>
    <xf numFmtId="0" fontId="30" fillId="22" borderId="1" xfId="0" applyFont="1" applyFill="1" applyBorder="1" applyAlignment="1">
      <alignment horizontal="center" vertical="center" wrapText="1"/>
    </xf>
    <xf numFmtId="0" fontId="20" fillId="3" borderId="4" xfId="0" applyFont="1" applyFill="1" applyBorder="1" applyAlignment="1">
      <alignment horizontal="center"/>
    </xf>
    <xf numFmtId="0" fontId="20" fillId="3" borderId="5" xfId="0" applyFont="1" applyFill="1" applyBorder="1" applyAlignment="1">
      <alignment horizontal="center"/>
    </xf>
    <xf numFmtId="0" fontId="20" fillId="0" borderId="1" xfId="0" applyFont="1" applyBorder="1" applyAlignment="1">
      <alignment horizontal="left"/>
    </xf>
    <xf numFmtId="0" fontId="20" fillId="0" borderId="8" xfId="0" applyFont="1" applyBorder="1" applyAlignment="1">
      <alignment horizontal="center"/>
    </xf>
    <xf numFmtId="0" fontId="20" fillId="0" borderId="2" xfId="0" applyFont="1" applyBorder="1" applyAlignment="1">
      <alignment horizontal="center"/>
    </xf>
    <xf numFmtId="0" fontId="30" fillId="4" borderId="3" xfId="0" applyFont="1" applyFill="1" applyBorder="1" applyAlignment="1">
      <alignment horizontal="center" vertical="center" wrapText="1"/>
    </xf>
    <xf numFmtId="0" fontId="20" fillId="3" borderId="1" xfId="0" applyFont="1" applyFill="1" applyBorder="1" applyAlignment="1">
      <alignment horizontal="left"/>
    </xf>
    <xf numFmtId="0" fontId="20" fillId="0" borderId="9" xfId="0" applyFont="1" applyBorder="1" applyAlignment="1">
      <alignment horizontal="center" vertical="center" wrapText="1"/>
    </xf>
    <xf numFmtId="0" fontId="20" fillId="0" borderId="10" xfId="0" applyFont="1" applyBorder="1" applyAlignment="1">
      <alignment horizontal="center" vertical="center" wrapText="1"/>
    </xf>
    <xf numFmtId="0" fontId="20" fillId="0" borderId="1" xfId="0" applyFont="1" applyBorder="1" applyAlignment="1">
      <alignment horizontal="left" vertical="center"/>
    </xf>
    <xf numFmtId="0" fontId="20" fillId="0" borderId="3" xfId="0" applyFont="1" applyBorder="1" applyAlignment="1">
      <alignment horizontal="left" vertical="center"/>
    </xf>
    <xf numFmtId="0" fontId="20" fillId="0" borderId="10" xfId="0" applyFont="1" applyBorder="1" applyAlignment="1">
      <alignment horizontal="left" vertical="center"/>
    </xf>
    <xf numFmtId="0" fontId="20" fillId="0" borderId="3" xfId="0" applyFont="1" applyBorder="1" applyAlignment="1">
      <alignment horizontal="center" vertical="center"/>
    </xf>
    <xf numFmtId="0" fontId="20" fillId="0" borderId="10" xfId="0" applyFont="1" applyBorder="1" applyAlignment="1">
      <alignment horizontal="center" vertical="center"/>
    </xf>
    <xf numFmtId="0" fontId="20" fillId="0" borderId="9" xfId="0" applyFont="1" applyBorder="1" applyAlignment="1">
      <alignment horizontal="left" vertical="center"/>
    </xf>
  </cellXfs>
  <cellStyles count="3">
    <cellStyle name="Hyperlink" xfId="2" builtinId="8"/>
    <cellStyle name="Normal" xfId="0" builtinId="0"/>
    <cellStyle name="Normal 2" xfId="1" xr:uid="{3E069385-66CE-4856-8677-829E94EE5CDB}"/>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z val="11"/>
        <color rgb="FF006100"/>
        <name val="Calibri"/>
      </font>
      <fill>
        <patternFill patternType="solid">
          <bgColor rgb="FFC6EFCE"/>
        </patternFill>
      </fill>
    </dxf>
    <dxf>
      <font>
        <sz val="11"/>
        <color rgb="FF9C0006"/>
        <name val="Calibri"/>
      </font>
      <fill>
        <patternFill patternType="solid">
          <bgColor rgb="FFFFC7CE"/>
        </patternFill>
      </fill>
    </dxf>
    <dxf>
      <font>
        <sz val="11"/>
        <color rgb="FF006100"/>
        <name val="Calibri"/>
      </font>
      <fill>
        <patternFill patternType="solid">
          <bgColor rgb="FFC6EFCE"/>
        </patternFill>
      </fill>
    </dxf>
    <dxf>
      <font>
        <sz val="11"/>
        <color rgb="FF9C0006"/>
        <name val="Calibri"/>
      </font>
      <fill>
        <patternFill patternType="solid">
          <bgColor rgb="FFFFC7CE"/>
        </patternFill>
      </fill>
    </dxf>
    <dxf>
      <font>
        <color rgb="FF006100"/>
      </font>
      <fill>
        <patternFill>
          <bgColor rgb="FFC6EFCE"/>
        </patternFill>
      </fill>
    </dxf>
    <dxf>
      <font>
        <sz val="11"/>
        <color rgb="FF006100"/>
        <name val="Calibri"/>
      </font>
      <fill>
        <patternFill patternType="solid">
          <bgColor rgb="FFC6EFCE"/>
        </patternFill>
      </fill>
    </dxf>
    <dxf>
      <font>
        <sz val="11"/>
        <color rgb="FF9C0006"/>
        <name val="Calibri"/>
      </font>
      <fill>
        <patternFill patternType="solid">
          <bgColor rgb="FFFFC7CE"/>
        </patternFill>
      </fill>
    </dxf>
  </dxfs>
  <tableStyles count="0" defaultTableStyle="TableStyleMedium2" defaultPivotStyle="PivotStyleLight16"/>
  <colors>
    <mruColors>
      <color rgb="FF872B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2303365689921073E-2"/>
          <c:y val="7.0320989718298074E-2"/>
          <c:w val="0.90137298371684138"/>
          <c:h val="0.79468383563465739"/>
        </c:manualLayout>
      </c:layout>
      <c:lineChart>
        <c:grouping val="standard"/>
        <c:varyColors val="0"/>
        <c:ser>
          <c:idx val="0"/>
          <c:order val="0"/>
          <c:tx>
            <c:strRef>
              <c:f>'Figure 1'!$B$3</c:f>
              <c:strCache>
                <c:ptCount val="1"/>
                <c:pt idx="0">
                  <c:v>Real GDP (USD PPP17)</c:v>
                </c:pt>
              </c:strCache>
            </c:strRef>
          </c:tx>
          <c:spPr>
            <a:ln w="19050" cap="rnd">
              <a:solidFill>
                <a:srgbClr val="002060"/>
              </a:solidFill>
              <a:round/>
            </a:ln>
            <a:effectLst/>
          </c:spPr>
          <c:marker>
            <c:symbol val="none"/>
          </c:marker>
          <c:dLbls>
            <c:delete val="1"/>
          </c:dLbls>
          <c:cat>
            <c:strRef>
              <c:f>'Figure 1'!$A$4:$A$53</c:f>
              <c:strCache>
                <c:ptCount val="34"/>
                <c:pt idx="0">
                  <c:v>2017-1</c:v>
                </c:pt>
                <c:pt idx="1">
                  <c:v>2017-2</c:v>
                </c:pt>
                <c:pt idx="2">
                  <c:v>2017-3</c:v>
                </c:pt>
                <c:pt idx="3">
                  <c:v>2017-4</c:v>
                </c:pt>
                <c:pt idx="4">
                  <c:v>2018-1</c:v>
                </c:pt>
                <c:pt idx="5">
                  <c:v>2018-2</c:v>
                </c:pt>
                <c:pt idx="6">
                  <c:v>2018-3</c:v>
                </c:pt>
                <c:pt idx="7">
                  <c:v>2018-4</c:v>
                </c:pt>
                <c:pt idx="8">
                  <c:v>2019-1</c:v>
                </c:pt>
                <c:pt idx="9">
                  <c:v>2019-2</c:v>
                </c:pt>
                <c:pt idx="10">
                  <c:v>2019-3</c:v>
                </c:pt>
                <c:pt idx="11">
                  <c:v>2019-4</c:v>
                </c:pt>
                <c:pt idx="12">
                  <c:v>2020-1</c:v>
                </c:pt>
                <c:pt idx="13">
                  <c:v>2020-2</c:v>
                </c:pt>
                <c:pt idx="14">
                  <c:v>2020-3</c:v>
                </c:pt>
                <c:pt idx="15">
                  <c:v>2020-4</c:v>
                </c:pt>
                <c:pt idx="16">
                  <c:v>2021-1</c:v>
                </c:pt>
                <c:pt idx="17">
                  <c:v>2021-2</c:v>
                </c:pt>
                <c:pt idx="18">
                  <c:v>2021-3</c:v>
                </c:pt>
                <c:pt idx="19">
                  <c:v>2021-4</c:v>
                </c:pt>
                <c:pt idx="20">
                  <c:v>2022-1</c:v>
                </c:pt>
                <c:pt idx="21">
                  <c:v>2022-2</c:v>
                </c:pt>
                <c:pt idx="22">
                  <c:v>2022-3</c:v>
                </c:pt>
                <c:pt idx="23">
                  <c:v>2022-4</c:v>
                </c:pt>
                <c:pt idx="24">
                  <c:v>2023-1</c:v>
                </c:pt>
                <c:pt idx="25">
                  <c:v>2023-2</c:v>
                </c:pt>
                <c:pt idx="26">
                  <c:v>2023-3</c:v>
                </c:pt>
                <c:pt idx="27">
                  <c:v>2023-4</c:v>
                </c:pt>
                <c:pt idx="28">
                  <c:v>2024-1</c:v>
                </c:pt>
                <c:pt idx="29">
                  <c:v>2024-2</c:v>
                </c:pt>
                <c:pt idx="31">
                  <c:v>2024</c:v>
                </c:pt>
                <c:pt idx="33">
                  <c:v>2025</c:v>
                </c:pt>
              </c:strCache>
            </c:strRef>
          </c:cat>
          <c:val>
            <c:numRef>
              <c:f>'Figure 1'!$B$6:$B$47</c:f>
              <c:numCache>
                <c:formatCode>General</c:formatCode>
                <c:ptCount val="28"/>
                <c:pt idx="0">
                  <c:v>2.7</c:v>
                </c:pt>
                <c:pt idx="1">
                  <c:v>1.9</c:v>
                </c:pt>
                <c:pt idx="2">
                  <c:v>2.5</c:v>
                </c:pt>
                <c:pt idx="3">
                  <c:v>2.8</c:v>
                </c:pt>
                <c:pt idx="4">
                  <c:v>3.2</c:v>
                </c:pt>
                <c:pt idx="5">
                  <c:v>4.0999999999999996</c:v>
                </c:pt>
                <c:pt idx="6">
                  <c:v>2.7</c:v>
                </c:pt>
                <c:pt idx="7">
                  <c:v>1.4</c:v>
                </c:pt>
                <c:pt idx="8">
                  <c:v>0.1</c:v>
                </c:pt>
                <c:pt idx="9">
                  <c:v>-0.1</c:v>
                </c:pt>
                <c:pt idx="10">
                  <c:v>1.2</c:v>
                </c:pt>
                <c:pt idx="11">
                  <c:v>0.6</c:v>
                </c:pt>
                <c:pt idx="12">
                  <c:v>0.1</c:v>
                </c:pt>
                <c:pt idx="13">
                  <c:v>-14.5</c:v>
                </c:pt>
                <c:pt idx="14">
                  <c:v>-5.2</c:v>
                </c:pt>
                <c:pt idx="15">
                  <c:v>-1.4</c:v>
                </c:pt>
                <c:pt idx="16">
                  <c:v>4</c:v>
                </c:pt>
                <c:pt idx="17">
                  <c:v>21.3</c:v>
                </c:pt>
                <c:pt idx="18">
                  <c:v>9</c:v>
                </c:pt>
                <c:pt idx="19">
                  <c:v>5.3</c:v>
                </c:pt>
                <c:pt idx="20">
                  <c:v>2.4</c:v>
                </c:pt>
                <c:pt idx="21">
                  <c:v>4.2</c:v>
                </c:pt>
                <c:pt idx="22">
                  <c:v>4.4000000000000004</c:v>
                </c:pt>
                <c:pt idx="23">
                  <c:v>3</c:v>
                </c:pt>
                <c:pt idx="24">
                  <c:v>2.2000000000000002</c:v>
                </c:pt>
                <c:pt idx="25">
                  <c:v>-0.7</c:v>
                </c:pt>
                <c:pt idx="26">
                  <c:v>1.4</c:v>
                </c:pt>
                <c:pt idx="27">
                  <c:v>3.1</c:v>
                </c:pt>
              </c:numCache>
            </c:numRef>
          </c:val>
          <c:smooth val="1"/>
          <c:extLst>
            <c:ext xmlns:c16="http://schemas.microsoft.com/office/drawing/2014/chart" uri="{C3380CC4-5D6E-409C-BE32-E72D297353CC}">
              <c16:uniqueId val="{00000000-33A8-40FC-B845-80AE9DEB5DE8}"/>
            </c:ext>
          </c:extLst>
        </c:ser>
        <c:ser>
          <c:idx val="2"/>
          <c:order val="1"/>
          <c:tx>
            <c:strRef>
              <c:f>'Figure 1'!$D$3</c:f>
              <c:strCache>
                <c:ptCount val="1"/>
                <c:pt idx="0">
                  <c:v> Job Creation</c:v>
                </c:pt>
              </c:strCache>
            </c:strRef>
          </c:tx>
          <c:spPr>
            <a:ln w="19050" cap="rnd">
              <a:solidFill>
                <a:schemeClr val="bg2">
                  <a:lumMod val="75000"/>
                </a:schemeClr>
              </a:solidFill>
              <a:round/>
            </a:ln>
            <a:effectLst/>
          </c:spPr>
          <c:marker>
            <c:symbol val="none"/>
          </c:marker>
          <c:dLbls>
            <c:delete val="1"/>
          </c:dLbls>
          <c:cat>
            <c:strRef>
              <c:f>'Figure 1'!$A$4:$A$53</c:f>
              <c:strCache>
                <c:ptCount val="34"/>
                <c:pt idx="0">
                  <c:v>2017-1</c:v>
                </c:pt>
                <c:pt idx="1">
                  <c:v>2017-2</c:v>
                </c:pt>
                <c:pt idx="2">
                  <c:v>2017-3</c:v>
                </c:pt>
                <c:pt idx="3">
                  <c:v>2017-4</c:v>
                </c:pt>
                <c:pt idx="4">
                  <c:v>2018-1</c:v>
                </c:pt>
                <c:pt idx="5">
                  <c:v>2018-2</c:v>
                </c:pt>
                <c:pt idx="6">
                  <c:v>2018-3</c:v>
                </c:pt>
                <c:pt idx="7">
                  <c:v>2018-4</c:v>
                </c:pt>
                <c:pt idx="8">
                  <c:v>2019-1</c:v>
                </c:pt>
                <c:pt idx="9">
                  <c:v>2019-2</c:v>
                </c:pt>
                <c:pt idx="10">
                  <c:v>2019-3</c:v>
                </c:pt>
                <c:pt idx="11">
                  <c:v>2019-4</c:v>
                </c:pt>
                <c:pt idx="12">
                  <c:v>2020-1</c:v>
                </c:pt>
                <c:pt idx="13">
                  <c:v>2020-2</c:v>
                </c:pt>
                <c:pt idx="14">
                  <c:v>2020-3</c:v>
                </c:pt>
                <c:pt idx="15">
                  <c:v>2020-4</c:v>
                </c:pt>
                <c:pt idx="16">
                  <c:v>2021-1</c:v>
                </c:pt>
                <c:pt idx="17">
                  <c:v>2021-2</c:v>
                </c:pt>
                <c:pt idx="18">
                  <c:v>2021-3</c:v>
                </c:pt>
                <c:pt idx="19">
                  <c:v>2021-4</c:v>
                </c:pt>
                <c:pt idx="20">
                  <c:v>2022-1</c:v>
                </c:pt>
                <c:pt idx="21">
                  <c:v>2022-2</c:v>
                </c:pt>
                <c:pt idx="22">
                  <c:v>2022-3</c:v>
                </c:pt>
                <c:pt idx="23">
                  <c:v>2022-4</c:v>
                </c:pt>
                <c:pt idx="24">
                  <c:v>2023-1</c:v>
                </c:pt>
                <c:pt idx="25">
                  <c:v>2023-2</c:v>
                </c:pt>
                <c:pt idx="26">
                  <c:v>2023-3</c:v>
                </c:pt>
                <c:pt idx="27">
                  <c:v>2023-4</c:v>
                </c:pt>
                <c:pt idx="28">
                  <c:v>2024-1</c:v>
                </c:pt>
                <c:pt idx="29">
                  <c:v>2024-2</c:v>
                </c:pt>
                <c:pt idx="31">
                  <c:v>2024</c:v>
                </c:pt>
                <c:pt idx="33">
                  <c:v>2025</c:v>
                </c:pt>
              </c:strCache>
            </c:strRef>
          </c:cat>
          <c:val>
            <c:numRef>
              <c:f>'Figure 1'!$D$4:$D$49</c:f>
              <c:numCache>
                <c:formatCode>0.0</c:formatCode>
                <c:ptCount val="30"/>
                <c:pt idx="0">
                  <c:v>1.5371793605556405E-3</c:v>
                </c:pt>
                <c:pt idx="1">
                  <c:v>0.61435792329800343</c:v>
                </c:pt>
                <c:pt idx="2">
                  <c:v>1.5491840401305357</c:v>
                </c:pt>
                <c:pt idx="3">
                  <c:v>1.894091246451568</c:v>
                </c:pt>
                <c:pt idx="4">
                  <c:v>2.0596220009560406</c:v>
                </c:pt>
                <c:pt idx="5">
                  <c:v>2.0681610125449224</c:v>
                </c:pt>
                <c:pt idx="6">
                  <c:v>2.1540237706595633</c:v>
                </c:pt>
                <c:pt idx="7">
                  <c:v>1.6873394106737383</c:v>
                </c:pt>
                <c:pt idx="8">
                  <c:v>2.1220732029516798</c:v>
                </c:pt>
                <c:pt idx="9">
                  <c:v>2.2315932656530535</c:v>
                </c:pt>
                <c:pt idx="10">
                  <c:v>1.6564516483001723</c:v>
                </c:pt>
                <c:pt idx="11">
                  <c:v>2.1321479176183544</c:v>
                </c:pt>
                <c:pt idx="12">
                  <c:v>1.042745442148707</c:v>
                </c:pt>
                <c:pt idx="13">
                  <c:v>-12.493208957829594</c:v>
                </c:pt>
                <c:pt idx="14">
                  <c:v>-11.804666952339637</c:v>
                </c:pt>
                <c:pt idx="15">
                  <c:v>-7.7124109575147042</c:v>
                </c:pt>
                <c:pt idx="16">
                  <c:v>-5.5129168530817951</c:v>
                </c:pt>
                <c:pt idx="17">
                  <c:v>10.389228539083618</c:v>
                </c:pt>
                <c:pt idx="18">
                  <c:v>12.311059679609858</c:v>
                </c:pt>
                <c:pt idx="19">
                  <c:v>8.8084705536078509</c:v>
                </c:pt>
                <c:pt idx="20">
                  <c:v>7.9060111230692565</c:v>
                </c:pt>
                <c:pt idx="21">
                  <c:v>8.0421150692948409</c:v>
                </c:pt>
                <c:pt idx="22">
                  <c:v>5.4736367964302035</c:v>
                </c:pt>
                <c:pt idx="23">
                  <c:v>3.6831036565091901</c:v>
                </c:pt>
                <c:pt idx="24">
                  <c:v>3.3528076970678944</c:v>
                </c:pt>
                <c:pt idx="25">
                  <c:v>1.4305314737287578</c:v>
                </c:pt>
                <c:pt idx="26">
                  <c:v>1.9728792849608823</c:v>
                </c:pt>
                <c:pt idx="27">
                  <c:v>1.9856608917741214</c:v>
                </c:pt>
                <c:pt idx="28">
                  <c:v>1.8785709931769867</c:v>
                </c:pt>
                <c:pt idx="29">
                  <c:v>2.2368031192451898</c:v>
                </c:pt>
              </c:numCache>
            </c:numRef>
          </c:val>
          <c:smooth val="1"/>
          <c:extLst xmlns:c15="http://schemas.microsoft.com/office/drawing/2012/chart">
            <c:ext xmlns:c16="http://schemas.microsoft.com/office/drawing/2014/chart" uri="{C3380CC4-5D6E-409C-BE32-E72D297353CC}">
              <c16:uniqueId val="{00000001-33A8-40FC-B845-80AE9DEB5DE8}"/>
            </c:ext>
          </c:extLst>
        </c:ser>
        <c:ser>
          <c:idx val="6"/>
          <c:order val="2"/>
          <c:tx>
            <c:strRef>
              <c:f>'Figure 1'!$F$3</c:f>
              <c:strCache>
                <c:ptCount val="1"/>
                <c:pt idx="0">
                  <c:v>Earnings (USD PPP17)</c:v>
                </c:pt>
              </c:strCache>
            </c:strRef>
          </c:tx>
          <c:spPr>
            <a:ln w="19050" cap="rnd">
              <a:solidFill>
                <a:srgbClr val="7030A0"/>
              </a:solidFill>
              <a:round/>
            </a:ln>
            <a:effectLst/>
          </c:spPr>
          <c:marker>
            <c:symbol val="none"/>
          </c:marker>
          <c:dLbls>
            <c:delete val="1"/>
          </c:dLbls>
          <c:cat>
            <c:strRef>
              <c:f>'Figure 1'!$A$4:$A$53</c:f>
              <c:strCache>
                <c:ptCount val="34"/>
                <c:pt idx="0">
                  <c:v>2017-1</c:v>
                </c:pt>
                <c:pt idx="1">
                  <c:v>2017-2</c:v>
                </c:pt>
                <c:pt idx="2">
                  <c:v>2017-3</c:v>
                </c:pt>
                <c:pt idx="3">
                  <c:v>2017-4</c:v>
                </c:pt>
                <c:pt idx="4">
                  <c:v>2018-1</c:v>
                </c:pt>
                <c:pt idx="5">
                  <c:v>2018-2</c:v>
                </c:pt>
                <c:pt idx="6">
                  <c:v>2018-3</c:v>
                </c:pt>
                <c:pt idx="7">
                  <c:v>2018-4</c:v>
                </c:pt>
                <c:pt idx="8">
                  <c:v>2019-1</c:v>
                </c:pt>
                <c:pt idx="9">
                  <c:v>2019-2</c:v>
                </c:pt>
                <c:pt idx="10">
                  <c:v>2019-3</c:v>
                </c:pt>
                <c:pt idx="11">
                  <c:v>2019-4</c:v>
                </c:pt>
                <c:pt idx="12">
                  <c:v>2020-1</c:v>
                </c:pt>
                <c:pt idx="13">
                  <c:v>2020-2</c:v>
                </c:pt>
                <c:pt idx="14">
                  <c:v>2020-3</c:v>
                </c:pt>
                <c:pt idx="15">
                  <c:v>2020-4</c:v>
                </c:pt>
                <c:pt idx="16">
                  <c:v>2021-1</c:v>
                </c:pt>
                <c:pt idx="17">
                  <c:v>2021-2</c:v>
                </c:pt>
                <c:pt idx="18">
                  <c:v>2021-3</c:v>
                </c:pt>
                <c:pt idx="19">
                  <c:v>2021-4</c:v>
                </c:pt>
                <c:pt idx="20">
                  <c:v>2022-1</c:v>
                </c:pt>
                <c:pt idx="21">
                  <c:v>2022-2</c:v>
                </c:pt>
                <c:pt idx="22">
                  <c:v>2022-3</c:v>
                </c:pt>
                <c:pt idx="23">
                  <c:v>2022-4</c:v>
                </c:pt>
                <c:pt idx="24">
                  <c:v>2023-1</c:v>
                </c:pt>
                <c:pt idx="25">
                  <c:v>2023-2</c:v>
                </c:pt>
                <c:pt idx="26">
                  <c:v>2023-3</c:v>
                </c:pt>
                <c:pt idx="27">
                  <c:v>2023-4</c:v>
                </c:pt>
                <c:pt idx="28">
                  <c:v>2024-1</c:v>
                </c:pt>
                <c:pt idx="29">
                  <c:v>2024-2</c:v>
                </c:pt>
                <c:pt idx="31">
                  <c:v>2024</c:v>
                </c:pt>
                <c:pt idx="33">
                  <c:v>2025</c:v>
                </c:pt>
              </c:strCache>
            </c:strRef>
          </c:cat>
          <c:val>
            <c:numRef>
              <c:f>'Figure 1'!$H$5:$H$49</c:f>
              <c:numCache>
                <c:formatCode>0.0</c:formatCode>
                <c:ptCount val="30"/>
                <c:pt idx="0">
                  <c:v>-1.07001395176749</c:v>
                </c:pt>
                <c:pt idx="1">
                  <c:v>-0.29187096931531098</c:v>
                </c:pt>
                <c:pt idx="2">
                  <c:v>0.87738814187097169</c:v>
                </c:pt>
                <c:pt idx="3">
                  <c:v>1.4294771064725209</c:v>
                </c:pt>
                <c:pt idx="4">
                  <c:v>1.8772483701663178</c:v>
                </c:pt>
                <c:pt idx="5">
                  <c:v>1.7533639523699351</c:v>
                </c:pt>
                <c:pt idx="6">
                  <c:v>0.9422064712367284</c:v>
                </c:pt>
                <c:pt idx="7">
                  <c:v>-0.34974273470376183</c:v>
                </c:pt>
                <c:pt idx="8">
                  <c:v>0.42431073223478943</c:v>
                </c:pt>
                <c:pt idx="9">
                  <c:v>0.82717516551200632</c:v>
                </c:pt>
                <c:pt idx="10">
                  <c:v>1.1928214350668931</c:v>
                </c:pt>
                <c:pt idx="11">
                  <c:v>2.1925174536566061</c:v>
                </c:pt>
                <c:pt idx="12">
                  <c:v>1.3306322233745504</c:v>
                </c:pt>
                <c:pt idx="13">
                  <c:v>-8.974494088326967</c:v>
                </c:pt>
                <c:pt idx="14">
                  <c:v>-10.180912561104394</c:v>
                </c:pt>
                <c:pt idx="15">
                  <c:v>-8.5806338245498441</c:v>
                </c:pt>
                <c:pt idx="16">
                  <c:v>-7.3795663294930485</c:v>
                </c:pt>
                <c:pt idx="17">
                  <c:v>2.7992977089301929</c:v>
                </c:pt>
                <c:pt idx="18">
                  <c:v>4.6635512916059163</c:v>
                </c:pt>
                <c:pt idx="19">
                  <c:v>1.5881558393189499</c:v>
                </c:pt>
                <c:pt idx="20">
                  <c:v>2.0602876853637708</c:v>
                </c:pt>
                <c:pt idx="21">
                  <c:v>4.368264381836906</c:v>
                </c:pt>
                <c:pt idx="22">
                  <c:v>5.5508608975095797</c:v>
                </c:pt>
                <c:pt idx="23">
                  <c:v>7.241311502005976</c:v>
                </c:pt>
                <c:pt idx="24">
                  <c:v>6.4379490841062648</c:v>
                </c:pt>
                <c:pt idx="25">
                  <c:v>4.4961555101652895</c:v>
                </c:pt>
                <c:pt idx="26">
                  <c:v>4.6148990876234475</c:v>
                </c:pt>
                <c:pt idx="27">
                  <c:v>3.9021959498888092</c:v>
                </c:pt>
                <c:pt idx="28">
                  <c:v>3.2921056542213112</c:v>
                </c:pt>
                <c:pt idx="29">
                  <c:v>5.8275727668146704</c:v>
                </c:pt>
              </c:numCache>
            </c:numRef>
          </c:val>
          <c:smooth val="1"/>
          <c:extLst xmlns:c15="http://schemas.microsoft.com/office/drawing/2012/chart">
            <c:ext xmlns:c16="http://schemas.microsoft.com/office/drawing/2014/chart" uri="{C3380CC4-5D6E-409C-BE32-E72D297353CC}">
              <c16:uniqueId val="{00000002-33A8-40FC-B845-80AE9DEB5DE8}"/>
            </c:ext>
          </c:extLst>
        </c:ser>
        <c:ser>
          <c:idx val="1"/>
          <c:order val="3"/>
          <c:tx>
            <c:strRef>
              <c:f>'Figure 1'!$C$3</c:f>
              <c:strCache>
                <c:ptCount val="1"/>
                <c:pt idx="0">
                  <c:v>Real GDP Projection</c:v>
                </c:pt>
              </c:strCache>
            </c:strRef>
          </c:tx>
          <c:spPr>
            <a:ln w="28575" cap="rnd">
              <a:solidFill>
                <a:schemeClr val="accent2"/>
              </a:solidFill>
              <a:round/>
            </a:ln>
            <a:effectLst/>
          </c:spPr>
          <c:marker>
            <c:symbol val="circle"/>
            <c:size val="5"/>
            <c:spPr>
              <a:solidFill>
                <a:srgbClr val="002060"/>
              </a:solidFill>
              <a:ln w="9525">
                <a:noFill/>
              </a:ln>
              <a:effectLst/>
            </c:spPr>
          </c:marker>
          <c:dLbls>
            <c:dLbl>
              <c:idx val="30"/>
              <c:layout>
                <c:manualLayout>
                  <c:x val="1.3610492748693339E-3"/>
                  <c:y val="-3.476957218916134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3A8-40FC-B845-80AE9DEB5DE8}"/>
                </c:ext>
              </c:extLst>
            </c:dLbl>
            <c:dLbl>
              <c:idx val="31"/>
              <c:layout>
                <c:manualLayout>
                  <c:x val="-2.4492436199183856E-2"/>
                  <c:y val="-2.77398623826975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3A8-40FC-B845-80AE9DEB5DE8}"/>
                </c:ext>
              </c:extLst>
            </c:dLbl>
            <c:dLbl>
              <c:idx val="33"/>
              <c:layout>
                <c:manualLayout>
                  <c:x val="-2.1932229411119896E-2"/>
                  <c:y val="-3.11562145233273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3A8-40FC-B845-80AE9DEB5DE8}"/>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002060"/>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'Figure 1'!$A$4:$A$53</c:f>
              <c:strCache>
                <c:ptCount val="34"/>
                <c:pt idx="0">
                  <c:v>2017-1</c:v>
                </c:pt>
                <c:pt idx="1">
                  <c:v>2017-2</c:v>
                </c:pt>
                <c:pt idx="2">
                  <c:v>2017-3</c:v>
                </c:pt>
                <c:pt idx="3">
                  <c:v>2017-4</c:v>
                </c:pt>
                <c:pt idx="4">
                  <c:v>2018-1</c:v>
                </c:pt>
                <c:pt idx="5">
                  <c:v>2018-2</c:v>
                </c:pt>
                <c:pt idx="6">
                  <c:v>2018-3</c:v>
                </c:pt>
                <c:pt idx="7">
                  <c:v>2018-4</c:v>
                </c:pt>
                <c:pt idx="8">
                  <c:v>2019-1</c:v>
                </c:pt>
                <c:pt idx="9">
                  <c:v>2019-2</c:v>
                </c:pt>
                <c:pt idx="10">
                  <c:v>2019-3</c:v>
                </c:pt>
                <c:pt idx="11">
                  <c:v>2019-4</c:v>
                </c:pt>
                <c:pt idx="12">
                  <c:v>2020-1</c:v>
                </c:pt>
                <c:pt idx="13">
                  <c:v>2020-2</c:v>
                </c:pt>
                <c:pt idx="14">
                  <c:v>2020-3</c:v>
                </c:pt>
                <c:pt idx="15">
                  <c:v>2020-4</c:v>
                </c:pt>
                <c:pt idx="16">
                  <c:v>2021-1</c:v>
                </c:pt>
                <c:pt idx="17">
                  <c:v>2021-2</c:v>
                </c:pt>
                <c:pt idx="18">
                  <c:v>2021-3</c:v>
                </c:pt>
                <c:pt idx="19">
                  <c:v>2021-4</c:v>
                </c:pt>
                <c:pt idx="20">
                  <c:v>2022-1</c:v>
                </c:pt>
                <c:pt idx="21">
                  <c:v>2022-2</c:v>
                </c:pt>
                <c:pt idx="22">
                  <c:v>2022-3</c:v>
                </c:pt>
                <c:pt idx="23">
                  <c:v>2022-4</c:v>
                </c:pt>
                <c:pt idx="24">
                  <c:v>2023-1</c:v>
                </c:pt>
                <c:pt idx="25">
                  <c:v>2023-2</c:v>
                </c:pt>
                <c:pt idx="26">
                  <c:v>2023-3</c:v>
                </c:pt>
                <c:pt idx="27">
                  <c:v>2023-4</c:v>
                </c:pt>
                <c:pt idx="28">
                  <c:v>2024-1</c:v>
                </c:pt>
                <c:pt idx="29">
                  <c:v>2024-2</c:v>
                </c:pt>
                <c:pt idx="31">
                  <c:v>2024</c:v>
                </c:pt>
                <c:pt idx="33">
                  <c:v>2025</c:v>
                </c:pt>
              </c:strCache>
            </c:strRef>
          </c:cat>
          <c:val>
            <c:numRef>
              <c:f>'Figure 1'!$C$4:$C$53</c:f>
              <c:numCache>
                <c:formatCode>0.0</c:formatCode>
                <c:ptCount val="34"/>
                <c:pt idx="31" formatCode="General">
                  <c:v>2.1</c:v>
                </c:pt>
                <c:pt idx="33" formatCode="General">
                  <c:v>1.9</c:v>
                </c:pt>
              </c:numCache>
            </c:numRef>
          </c:val>
          <c:smooth val="0"/>
          <c:extLst>
            <c:ext xmlns:c16="http://schemas.microsoft.com/office/drawing/2014/chart" uri="{C3380CC4-5D6E-409C-BE32-E72D297353CC}">
              <c16:uniqueId val="{00000006-33A8-40FC-B845-80AE9DEB5DE8}"/>
            </c:ext>
          </c:extLst>
        </c:ser>
        <c:ser>
          <c:idx val="3"/>
          <c:order val="4"/>
          <c:tx>
            <c:strRef>
              <c:f>'Figure 1'!$E$3</c:f>
              <c:strCache>
                <c:ptCount val="1"/>
                <c:pt idx="0">
                  <c:v>Job Creation Projection</c:v>
                </c:pt>
              </c:strCache>
            </c:strRef>
          </c:tx>
          <c:spPr>
            <a:ln w="28575" cap="rnd">
              <a:solidFill>
                <a:schemeClr val="accent4"/>
              </a:solidFill>
              <a:round/>
            </a:ln>
            <a:effectLst/>
          </c:spPr>
          <c:marker>
            <c:symbol val="circle"/>
            <c:size val="5"/>
            <c:spPr>
              <a:solidFill>
                <a:srgbClr val="2BA093"/>
              </a:solidFill>
              <a:ln w="9525">
                <a:solidFill>
                  <a:srgbClr val="2BA093"/>
                </a:solidFill>
              </a:ln>
              <a:effectLst/>
            </c:spPr>
          </c:marker>
          <c:dPt>
            <c:idx val="33"/>
            <c:marker>
              <c:symbol val="circle"/>
              <c:size val="5"/>
              <c:spPr>
                <a:solidFill>
                  <a:schemeClr val="bg2">
                    <a:lumMod val="50000"/>
                  </a:schemeClr>
                </a:solidFill>
                <a:ln w="9525">
                  <a:solidFill>
                    <a:schemeClr val="bg2">
                      <a:lumMod val="50000"/>
                    </a:schemeClr>
                  </a:solidFill>
                </a:ln>
                <a:effectLst/>
              </c:spPr>
            </c:marker>
            <c:bubble3D val="0"/>
            <c:spPr>
              <a:ln w="28575" cap="rnd">
                <a:solidFill>
                  <a:schemeClr val="bg2">
                    <a:lumMod val="50000"/>
                  </a:schemeClr>
                </a:solidFill>
                <a:round/>
              </a:ln>
              <a:effectLst/>
            </c:spPr>
            <c:extLst>
              <c:ext xmlns:c16="http://schemas.microsoft.com/office/drawing/2014/chart" uri="{C3380CC4-5D6E-409C-BE32-E72D297353CC}">
                <c16:uniqueId val="{00000007-33A8-40FC-B845-80AE9DEB5DE8}"/>
              </c:ext>
            </c:extLst>
          </c:dPt>
          <c:dLbls>
            <c:dLbl>
              <c:idx val="33"/>
              <c:layout>
                <c:manualLayout>
                  <c:x val="-4.2425105897839141E-3"/>
                  <c:y val="-7.8854859815984113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3A8-40FC-B845-80AE9DEB5DE8}"/>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2">
                        <a:lumMod val="50000"/>
                      </a:schemeClr>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'Figure 1'!$A$4:$A$53</c:f>
              <c:strCache>
                <c:ptCount val="34"/>
                <c:pt idx="0">
                  <c:v>2017-1</c:v>
                </c:pt>
                <c:pt idx="1">
                  <c:v>2017-2</c:v>
                </c:pt>
                <c:pt idx="2">
                  <c:v>2017-3</c:v>
                </c:pt>
                <c:pt idx="3">
                  <c:v>2017-4</c:v>
                </c:pt>
                <c:pt idx="4">
                  <c:v>2018-1</c:v>
                </c:pt>
                <c:pt idx="5">
                  <c:v>2018-2</c:v>
                </c:pt>
                <c:pt idx="6">
                  <c:v>2018-3</c:v>
                </c:pt>
                <c:pt idx="7">
                  <c:v>2018-4</c:v>
                </c:pt>
                <c:pt idx="8">
                  <c:v>2019-1</c:v>
                </c:pt>
                <c:pt idx="9">
                  <c:v>2019-2</c:v>
                </c:pt>
                <c:pt idx="10">
                  <c:v>2019-3</c:v>
                </c:pt>
                <c:pt idx="11">
                  <c:v>2019-4</c:v>
                </c:pt>
                <c:pt idx="12">
                  <c:v>2020-1</c:v>
                </c:pt>
                <c:pt idx="13">
                  <c:v>2020-2</c:v>
                </c:pt>
                <c:pt idx="14">
                  <c:v>2020-3</c:v>
                </c:pt>
                <c:pt idx="15">
                  <c:v>2020-4</c:v>
                </c:pt>
                <c:pt idx="16">
                  <c:v>2021-1</c:v>
                </c:pt>
                <c:pt idx="17">
                  <c:v>2021-2</c:v>
                </c:pt>
                <c:pt idx="18">
                  <c:v>2021-3</c:v>
                </c:pt>
                <c:pt idx="19">
                  <c:v>2021-4</c:v>
                </c:pt>
                <c:pt idx="20">
                  <c:v>2022-1</c:v>
                </c:pt>
                <c:pt idx="21">
                  <c:v>2022-2</c:v>
                </c:pt>
                <c:pt idx="22">
                  <c:v>2022-3</c:v>
                </c:pt>
                <c:pt idx="23">
                  <c:v>2022-4</c:v>
                </c:pt>
                <c:pt idx="24">
                  <c:v>2023-1</c:v>
                </c:pt>
                <c:pt idx="25">
                  <c:v>2023-2</c:v>
                </c:pt>
                <c:pt idx="26">
                  <c:v>2023-3</c:v>
                </c:pt>
                <c:pt idx="27">
                  <c:v>2023-4</c:v>
                </c:pt>
                <c:pt idx="28">
                  <c:v>2024-1</c:v>
                </c:pt>
                <c:pt idx="29">
                  <c:v>2024-2</c:v>
                </c:pt>
                <c:pt idx="31">
                  <c:v>2024</c:v>
                </c:pt>
                <c:pt idx="33">
                  <c:v>2025</c:v>
                </c:pt>
              </c:strCache>
            </c:strRef>
          </c:cat>
          <c:val>
            <c:numRef>
              <c:f>'Figure 1'!$E$4:$E$53</c:f>
              <c:numCache>
                <c:formatCode>0.00</c:formatCode>
                <c:ptCount val="34"/>
                <c:pt idx="33" formatCode="0.0">
                  <c:v>1.6088708721106681</c:v>
                </c:pt>
              </c:numCache>
            </c:numRef>
          </c:val>
          <c:smooth val="0"/>
          <c:extLst>
            <c:ext xmlns:c16="http://schemas.microsoft.com/office/drawing/2014/chart" uri="{C3380CC4-5D6E-409C-BE32-E72D297353CC}">
              <c16:uniqueId val="{00000008-33A8-40FC-B845-80AE9DEB5DE8}"/>
            </c:ext>
          </c:extLst>
        </c:ser>
        <c:ser>
          <c:idx val="4"/>
          <c:order val="5"/>
          <c:tx>
            <c:strRef>
              <c:f>'Figure 1'!$G$3</c:f>
              <c:strCache>
                <c:ptCount val="1"/>
                <c:pt idx="0">
                  <c:v>Earnings Projection</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Pt>
            <c:idx val="33"/>
            <c:marker>
              <c:symbol val="circle"/>
              <c:size val="5"/>
              <c:spPr>
                <a:solidFill>
                  <a:srgbClr val="7030A0"/>
                </a:solidFill>
                <a:ln w="9525">
                  <a:solidFill>
                    <a:srgbClr val="7030A0"/>
                  </a:solidFill>
                </a:ln>
                <a:effectLst/>
              </c:spPr>
            </c:marker>
            <c:bubble3D val="0"/>
            <c:spPr>
              <a:ln w="28575" cap="rnd">
                <a:solidFill>
                  <a:srgbClr val="7030A0"/>
                </a:solidFill>
                <a:round/>
              </a:ln>
              <a:effectLst/>
            </c:spPr>
            <c:extLst>
              <c:ext xmlns:c16="http://schemas.microsoft.com/office/drawing/2014/chart" uri="{C3380CC4-5D6E-409C-BE32-E72D297353CC}">
                <c16:uniqueId val="{00000009-33A8-40FC-B845-80AE9DEB5DE8}"/>
              </c:ext>
            </c:extLst>
          </c:dPt>
          <c:dLbls>
            <c:dLbl>
              <c:idx val="33"/>
              <c:layout>
                <c:manualLayout>
                  <c:x val="-2.2378038056267559E-2"/>
                  <c:y val="2.45264889217894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3A8-40FC-B845-80AE9DEB5DE8}"/>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030A0"/>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'Figure 1'!$A$4:$A$53</c:f>
              <c:strCache>
                <c:ptCount val="34"/>
                <c:pt idx="0">
                  <c:v>2017-1</c:v>
                </c:pt>
                <c:pt idx="1">
                  <c:v>2017-2</c:v>
                </c:pt>
                <c:pt idx="2">
                  <c:v>2017-3</c:v>
                </c:pt>
                <c:pt idx="3">
                  <c:v>2017-4</c:v>
                </c:pt>
                <c:pt idx="4">
                  <c:v>2018-1</c:v>
                </c:pt>
                <c:pt idx="5">
                  <c:v>2018-2</c:v>
                </c:pt>
                <c:pt idx="6">
                  <c:v>2018-3</c:v>
                </c:pt>
                <c:pt idx="7">
                  <c:v>2018-4</c:v>
                </c:pt>
                <c:pt idx="8">
                  <c:v>2019-1</c:v>
                </c:pt>
                <c:pt idx="9">
                  <c:v>2019-2</c:v>
                </c:pt>
                <c:pt idx="10">
                  <c:v>2019-3</c:v>
                </c:pt>
                <c:pt idx="11">
                  <c:v>2019-4</c:v>
                </c:pt>
                <c:pt idx="12">
                  <c:v>2020-1</c:v>
                </c:pt>
                <c:pt idx="13">
                  <c:v>2020-2</c:v>
                </c:pt>
                <c:pt idx="14">
                  <c:v>2020-3</c:v>
                </c:pt>
                <c:pt idx="15">
                  <c:v>2020-4</c:v>
                </c:pt>
                <c:pt idx="16">
                  <c:v>2021-1</c:v>
                </c:pt>
                <c:pt idx="17">
                  <c:v>2021-2</c:v>
                </c:pt>
                <c:pt idx="18">
                  <c:v>2021-3</c:v>
                </c:pt>
                <c:pt idx="19">
                  <c:v>2021-4</c:v>
                </c:pt>
                <c:pt idx="20">
                  <c:v>2022-1</c:v>
                </c:pt>
                <c:pt idx="21">
                  <c:v>2022-2</c:v>
                </c:pt>
                <c:pt idx="22">
                  <c:v>2022-3</c:v>
                </c:pt>
                <c:pt idx="23">
                  <c:v>2022-4</c:v>
                </c:pt>
                <c:pt idx="24">
                  <c:v>2023-1</c:v>
                </c:pt>
                <c:pt idx="25">
                  <c:v>2023-2</c:v>
                </c:pt>
                <c:pt idx="26">
                  <c:v>2023-3</c:v>
                </c:pt>
                <c:pt idx="27">
                  <c:v>2023-4</c:v>
                </c:pt>
                <c:pt idx="28">
                  <c:v>2024-1</c:v>
                </c:pt>
                <c:pt idx="29">
                  <c:v>2024-2</c:v>
                </c:pt>
                <c:pt idx="31">
                  <c:v>2024</c:v>
                </c:pt>
                <c:pt idx="33">
                  <c:v>2025</c:v>
                </c:pt>
              </c:strCache>
            </c:strRef>
          </c:cat>
          <c:val>
            <c:numRef>
              <c:f>'Figure 1'!$G$4:$G$53</c:f>
              <c:numCache>
                <c:formatCode>0.00</c:formatCode>
                <c:ptCount val="34"/>
                <c:pt idx="33" formatCode="0.0">
                  <c:v>1.5074835541780129</c:v>
                </c:pt>
              </c:numCache>
            </c:numRef>
          </c:val>
          <c:smooth val="0"/>
          <c:extLst>
            <c:ext xmlns:c16="http://schemas.microsoft.com/office/drawing/2014/chart" uri="{C3380CC4-5D6E-409C-BE32-E72D297353CC}">
              <c16:uniqueId val="{0000000A-33A8-40FC-B845-80AE9DEB5DE8}"/>
            </c:ext>
          </c:extLst>
        </c:ser>
        <c:dLbls>
          <c:dLblPos val="ctr"/>
          <c:showLegendKey val="0"/>
          <c:showVal val="1"/>
          <c:showCatName val="0"/>
          <c:showSerName val="0"/>
          <c:showPercent val="0"/>
          <c:showBubbleSize val="0"/>
        </c:dLbls>
        <c:smooth val="0"/>
        <c:axId val="136245520"/>
        <c:axId val="136242160"/>
        <c:extLst/>
      </c:lineChart>
      <c:catAx>
        <c:axId val="13624552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50" b="0" i="0" u="none" strike="noStrike" kern="1200" baseline="0">
                <a:solidFill>
                  <a:schemeClr val="tx1"/>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crossAx val="136242160"/>
        <c:crosses val="autoZero"/>
        <c:auto val="0"/>
        <c:lblAlgn val="ctr"/>
        <c:lblOffset val="100"/>
        <c:noMultiLvlLbl val="0"/>
      </c:catAx>
      <c:valAx>
        <c:axId val="136242160"/>
        <c:scaling>
          <c:orientation val="minMax"/>
        </c:scaling>
        <c:delete val="0"/>
        <c:axPos val="l"/>
        <c:title>
          <c:tx>
            <c:rich>
              <a:bodyPr rot="-5400000" spcFirstLastPara="1" vertOverflow="ellipsis" vert="horz" wrap="square" anchor="ctr" anchorCtr="1"/>
              <a:lstStyle/>
              <a:p>
                <a:pPr>
                  <a:defRPr sz="1050" b="0" i="0" u="none" strike="noStrike" kern="1200" baseline="0">
                    <a:solidFill>
                      <a:schemeClr val="tx1"/>
                    </a:solidFill>
                    <a:latin typeface="Calibri Light" panose="020F0302020204030204" pitchFamily="34" charset="0"/>
                    <a:ea typeface="Calibri Light" panose="020F0302020204030204" pitchFamily="34" charset="0"/>
                    <a:cs typeface="Calibri Light" panose="020F0302020204030204" pitchFamily="34" charset="0"/>
                  </a:defRPr>
                </a:pPr>
                <a:r>
                  <a:rPr lang="en-US"/>
                  <a:t>Year-to-Year growth (percent)</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crossAx val="136245520"/>
        <c:crosses val="autoZero"/>
        <c:crossBetween val="between"/>
      </c:valAx>
      <c:spPr>
        <a:noFill/>
        <a:ln>
          <a:noFill/>
        </a:ln>
        <a:effectLst/>
      </c:spPr>
    </c:plotArea>
    <c:legend>
      <c:legendPos val="r"/>
      <c:legendEntry>
        <c:idx val="3"/>
        <c:delete val="1"/>
      </c:legendEntry>
      <c:legendEntry>
        <c:idx val="4"/>
        <c:delete val="1"/>
      </c:legendEntry>
      <c:legendEntry>
        <c:idx val="5"/>
        <c:delete val="1"/>
      </c:legendEntry>
      <c:layout>
        <c:manualLayout>
          <c:xMode val="edge"/>
          <c:yMode val="edge"/>
          <c:x val="9.7589607692283351E-2"/>
          <c:y val="4.4843049327354258E-2"/>
          <c:w val="0.184301370565468"/>
          <c:h val="0.222502465873110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chemeClr val="tx1"/>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7545346619936"/>
          <c:y val="2.793466572745951E-2"/>
          <c:w val="0.86838506242258517"/>
          <c:h val="0.87715413291631916"/>
        </c:manualLayout>
      </c:layout>
      <c:lineChart>
        <c:grouping val="standard"/>
        <c:varyColors val="0"/>
        <c:ser>
          <c:idx val="0"/>
          <c:order val="0"/>
          <c:tx>
            <c:strRef>
              <c:f>'Figure B1. a)'!$D$1</c:f>
              <c:strCache>
                <c:ptCount val="1"/>
                <c:pt idx="0">
                  <c:v>Brazil</c:v>
                </c:pt>
              </c:strCache>
            </c:strRef>
          </c:tx>
          <c:spPr>
            <a:ln w="28575" cap="rnd">
              <a:solidFill>
                <a:srgbClr val="002060"/>
              </a:solidFill>
              <a:round/>
            </a:ln>
            <a:effectLst/>
          </c:spPr>
          <c:marker>
            <c:symbol val="none"/>
          </c:marker>
          <c:cat>
            <c:numRef>
              <c:f>'Figure B1. a)'!$A$2:$A$99</c:f>
              <c:numCache>
                <c:formatCode>General</c:formatCode>
                <c:ptCount val="98"/>
                <c:pt idx="0">
                  <c:v>2017</c:v>
                </c:pt>
                <c:pt idx="12">
                  <c:v>2018</c:v>
                </c:pt>
                <c:pt idx="24">
                  <c:v>2019</c:v>
                </c:pt>
                <c:pt idx="36">
                  <c:v>2020</c:v>
                </c:pt>
                <c:pt idx="48">
                  <c:v>2021</c:v>
                </c:pt>
                <c:pt idx="60">
                  <c:v>2022</c:v>
                </c:pt>
                <c:pt idx="72">
                  <c:v>2023</c:v>
                </c:pt>
                <c:pt idx="84">
                  <c:v>2024</c:v>
                </c:pt>
                <c:pt idx="96">
                  <c:v>2025</c:v>
                </c:pt>
              </c:numCache>
            </c:numRef>
          </c:cat>
          <c:val>
            <c:numRef>
              <c:f>'Figure B1. a)'!$D$2:$D$99</c:f>
              <c:numCache>
                <c:formatCode>0.00</c:formatCode>
                <c:ptCount val="98"/>
                <c:pt idx="0">
                  <c:v>7.3099999999999998E-2</c:v>
                </c:pt>
                <c:pt idx="1">
                  <c:v>4.0000000000000002E-4</c:v>
                </c:pt>
                <c:pt idx="2">
                  <c:v>5.7299999999999997E-2</c:v>
                </c:pt>
                <c:pt idx="3">
                  <c:v>7.5999999999999998E-2</c:v>
                </c:pt>
                <c:pt idx="4">
                  <c:v>0.14050000000000001</c:v>
                </c:pt>
                <c:pt idx="5">
                  <c:v>0.1041</c:v>
                </c:pt>
                <c:pt idx="6">
                  <c:v>0.12920000000000001</c:v>
                </c:pt>
                <c:pt idx="7">
                  <c:v>0.27089999999999997</c:v>
                </c:pt>
                <c:pt idx="8">
                  <c:v>0.23630000000000001</c:v>
                </c:pt>
                <c:pt idx="9">
                  <c:v>0.2419</c:v>
                </c:pt>
                <c:pt idx="10">
                  <c:v>0.26819999999999999</c:v>
                </c:pt>
                <c:pt idx="11">
                  <c:v>0.2611</c:v>
                </c:pt>
                <c:pt idx="12">
                  <c:v>0.15909999999999999</c:v>
                </c:pt>
                <c:pt idx="13">
                  <c:v>0.2104</c:v>
                </c:pt>
                <c:pt idx="14">
                  <c:v>0.22850000000000001</c:v>
                </c:pt>
                <c:pt idx="15">
                  <c:v>0.28079999999999999</c:v>
                </c:pt>
                <c:pt idx="16">
                  <c:v>0.25090000000000001</c:v>
                </c:pt>
                <c:pt idx="17">
                  <c:v>0.19670000000000001</c:v>
                </c:pt>
                <c:pt idx="18">
                  <c:v>0.21390000000000001</c:v>
                </c:pt>
                <c:pt idx="19">
                  <c:v>0.24990000000000001</c:v>
                </c:pt>
                <c:pt idx="20">
                  <c:v>0.25330000000000003</c:v>
                </c:pt>
                <c:pt idx="21">
                  <c:v>0.26190000000000002</c:v>
                </c:pt>
                <c:pt idx="22">
                  <c:v>0.18859999999999999</c:v>
                </c:pt>
                <c:pt idx="23">
                  <c:v>0.1767</c:v>
                </c:pt>
                <c:pt idx="24">
                  <c:v>0.18720000000000001</c:v>
                </c:pt>
                <c:pt idx="25">
                  <c:v>0.36449999999999999</c:v>
                </c:pt>
                <c:pt idx="26">
                  <c:v>3.0800000000000001E-2</c:v>
                </c:pt>
                <c:pt idx="27">
                  <c:v>0.221</c:v>
                </c:pt>
                <c:pt idx="28">
                  <c:v>0.16389999999999999</c:v>
                </c:pt>
                <c:pt idx="29">
                  <c:v>0.2036</c:v>
                </c:pt>
                <c:pt idx="30">
                  <c:v>0.23319999999999999</c:v>
                </c:pt>
                <c:pt idx="31">
                  <c:v>0.1852</c:v>
                </c:pt>
                <c:pt idx="32">
                  <c:v>0.31330000000000002</c:v>
                </c:pt>
                <c:pt idx="33">
                  <c:v>0.32150000000000001</c:v>
                </c:pt>
                <c:pt idx="34">
                  <c:v>0.34089999999999998</c:v>
                </c:pt>
                <c:pt idx="35">
                  <c:v>0.28239999999999998</c:v>
                </c:pt>
                <c:pt idx="36">
                  <c:v>0.252</c:v>
                </c:pt>
                <c:pt idx="37">
                  <c:v>0.14480000000000001</c:v>
                </c:pt>
                <c:pt idx="38">
                  <c:v>0.19800000000000001</c:v>
                </c:pt>
                <c:pt idx="39">
                  <c:v>-0.54890000000000005</c:v>
                </c:pt>
                <c:pt idx="40">
                  <c:v>-0.50609999999999999</c:v>
                </c:pt>
                <c:pt idx="41">
                  <c:v>-0.29299999999999998</c:v>
                </c:pt>
                <c:pt idx="42">
                  <c:v>-0.1696</c:v>
                </c:pt>
                <c:pt idx="43">
                  <c:v>-0.1239</c:v>
                </c:pt>
                <c:pt idx="44">
                  <c:v>2.3099999999999999E-2</c:v>
                </c:pt>
                <c:pt idx="45">
                  <c:v>9.3600000000000003E-2</c:v>
                </c:pt>
                <c:pt idx="46">
                  <c:v>0.2175</c:v>
                </c:pt>
                <c:pt idx="47">
                  <c:v>0.28989999999999999</c:v>
                </c:pt>
                <c:pt idx="48">
                  <c:v>9.2799999999999994E-2</c:v>
                </c:pt>
                <c:pt idx="49">
                  <c:v>0.16950000000000001</c:v>
                </c:pt>
                <c:pt idx="50">
                  <c:v>0.41710000000000003</c:v>
                </c:pt>
                <c:pt idx="51">
                  <c:v>2.0971000000000002</c:v>
                </c:pt>
                <c:pt idx="52">
                  <c:v>2.0714000000000001</c:v>
                </c:pt>
                <c:pt idx="53">
                  <c:v>1.3312999999999999</c:v>
                </c:pt>
                <c:pt idx="54">
                  <c:v>0.79330000000000001</c:v>
                </c:pt>
                <c:pt idx="55">
                  <c:v>0.61439999999999995</c:v>
                </c:pt>
                <c:pt idx="56">
                  <c:v>0.44069999999999998</c:v>
                </c:pt>
                <c:pt idx="57">
                  <c:v>0.3004</c:v>
                </c:pt>
                <c:pt idx="58">
                  <c:v>0.2681</c:v>
                </c:pt>
                <c:pt idx="59">
                  <c:v>0.21340000000000001</c:v>
                </c:pt>
                <c:pt idx="60">
                  <c:v>0.16320000000000001</c:v>
                </c:pt>
                <c:pt idx="61">
                  <c:v>0.1981</c:v>
                </c:pt>
                <c:pt idx="62">
                  <c:v>9.9599999999999994E-2</c:v>
                </c:pt>
                <c:pt idx="63">
                  <c:v>0.1094</c:v>
                </c:pt>
                <c:pt idx="64">
                  <c:v>9.3899999999999997E-2</c:v>
                </c:pt>
                <c:pt idx="65">
                  <c:v>2.52E-2</c:v>
                </c:pt>
                <c:pt idx="66">
                  <c:v>-2.76E-2</c:v>
                </c:pt>
                <c:pt idx="67">
                  <c:v>6.6E-3</c:v>
                </c:pt>
                <c:pt idx="68">
                  <c:v>-7.1300000000000002E-2</c:v>
                </c:pt>
                <c:pt idx="69">
                  <c:v>-0.12720000000000001</c:v>
                </c:pt>
                <c:pt idx="70">
                  <c:v>-0.17030000000000001</c:v>
                </c:pt>
                <c:pt idx="71">
                  <c:v>-0.19739999999999999</c:v>
                </c:pt>
                <c:pt idx="72">
                  <c:v>-9.6100000000000005E-2</c:v>
                </c:pt>
                <c:pt idx="73">
                  <c:v>-0.22570000000000001</c:v>
                </c:pt>
                <c:pt idx="74">
                  <c:v>-0.1079</c:v>
                </c:pt>
                <c:pt idx="75">
                  <c:v>-0.18060000000000001</c:v>
                </c:pt>
                <c:pt idx="76">
                  <c:v>-0.15049999999999999</c:v>
                </c:pt>
                <c:pt idx="77">
                  <c:v>-0.182</c:v>
                </c:pt>
                <c:pt idx="78">
                  <c:v>-0.15090000000000001</c:v>
                </c:pt>
                <c:pt idx="79">
                  <c:v>-0.15029999999999999</c:v>
                </c:pt>
                <c:pt idx="80">
                  <c:v>-0.1779</c:v>
                </c:pt>
                <c:pt idx="81">
                  <c:v>-9.4200000000000006E-2</c:v>
                </c:pt>
                <c:pt idx="82">
                  <c:v>-0.13070000000000001</c:v>
                </c:pt>
                <c:pt idx="83">
                  <c:v>-9.8799999999999999E-2</c:v>
                </c:pt>
                <c:pt idx="84">
                  <c:v>-0.10879999999999999</c:v>
                </c:pt>
                <c:pt idx="85">
                  <c:v>-3.2500000000000001E-2</c:v>
                </c:pt>
                <c:pt idx="86">
                  <c:v>-0.13600000000000001</c:v>
                </c:pt>
                <c:pt idx="87">
                  <c:v>1.61E-2</c:v>
                </c:pt>
                <c:pt idx="88">
                  <c:v>-0.1285</c:v>
                </c:pt>
                <c:pt idx="89">
                  <c:v>-0.10780000000000001</c:v>
                </c:pt>
                <c:pt idx="90">
                  <c:v>-5.7200000000000001E-2</c:v>
                </c:pt>
                <c:pt idx="91">
                  <c:v>-0.1497</c:v>
                </c:pt>
                <c:pt idx="92">
                  <c:v>-5.4899999999999997E-2</c:v>
                </c:pt>
                <c:pt idx="93">
                  <c:v>-4.4900000000000002E-2</c:v>
                </c:pt>
                <c:pt idx="94">
                  <c:v>-6.6799999999999998E-2</c:v>
                </c:pt>
                <c:pt idx="95">
                  <c:v>-0.1278</c:v>
                </c:pt>
                <c:pt idx="96">
                  <c:v>-9.6699999999999994E-2</c:v>
                </c:pt>
                <c:pt idx="97">
                  <c:v>-2.8500000000000001E-2</c:v>
                </c:pt>
              </c:numCache>
            </c:numRef>
          </c:val>
          <c:smooth val="1"/>
          <c:extLst>
            <c:ext xmlns:c16="http://schemas.microsoft.com/office/drawing/2014/chart" uri="{C3380CC4-5D6E-409C-BE32-E72D297353CC}">
              <c16:uniqueId val="{00000000-EB8D-44B6-9B7B-156EAA9D56C9}"/>
            </c:ext>
          </c:extLst>
        </c:ser>
        <c:ser>
          <c:idx val="1"/>
          <c:order val="1"/>
          <c:tx>
            <c:strRef>
              <c:f>'Figure B1. a)'!$F$1</c:f>
              <c:strCache>
                <c:ptCount val="1"/>
                <c:pt idx="0">
                  <c:v>Colombia</c:v>
                </c:pt>
              </c:strCache>
            </c:strRef>
          </c:tx>
          <c:spPr>
            <a:ln w="28575" cap="rnd">
              <a:solidFill>
                <a:srgbClr val="7030A0"/>
              </a:solidFill>
              <a:round/>
            </a:ln>
            <a:effectLst/>
          </c:spPr>
          <c:marker>
            <c:symbol val="none"/>
          </c:marker>
          <c:cat>
            <c:numRef>
              <c:f>'Figure B1. a)'!$A$2:$A$99</c:f>
              <c:numCache>
                <c:formatCode>General</c:formatCode>
                <c:ptCount val="98"/>
                <c:pt idx="0">
                  <c:v>2017</c:v>
                </c:pt>
                <c:pt idx="12">
                  <c:v>2018</c:v>
                </c:pt>
                <c:pt idx="24">
                  <c:v>2019</c:v>
                </c:pt>
                <c:pt idx="36">
                  <c:v>2020</c:v>
                </c:pt>
                <c:pt idx="48">
                  <c:v>2021</c:v>
                </c:pt>
                <c:pt idx="60">
                  <c:v>2022</c:v>
                </c:pt>
                <c:pt idx="72">
                  <c:v>2023</c:v>
                </c:pt>
                <c:pt idx="84">
                  <c:v>2024</c:v>
                </c:pt>
                <c:pt idx="96">
                  <c:v>2025</c:v>
                </c:pt>
              </c:numCache>
            </c:numRef>
          </c:cat>
          <c:val>
            <c:numRef>
              <c:f>'Figure B1. a)'!$F$2:$F$99</c:f>
              <c:numCache>
                <c:formatCode>0.00</c:formatCode>
                <c:ptCount val="98"/>
                <c:pt idx="0">
                  <c:v>-5.6300000000000003E-2</c:v>
                </c:pt>
                <c:pt idx="1">
                  <c:v>-9.6500000000000002E-2</c:v>
                </c:pt>
                <c:pt idx="2">
                  <c:v>0.13769999999999999</c:v>
                </c:pt>
                <c:pt idx="3">
                  <c:v>-0.12640000000000001</c:v>
                </c:pt>
                <c:pt idx="4">
                  <c:v>3.61E-2</c:v>
                </c:pt>
                <c:pt idx="5">
                  <c:v>5.4899999999999997E-2</c:v>
                </c:pt>
                <c:pt idx="6">
                  <c:v>7.4099999999999999E-2</c:v>
                </c:pt>
                <c:pt idx="7">
                  <c:v>6.4699999999999994E-2</c:v>
                </c:pt>
                <c:pt idx="8">
                  <c:v>-4.5999999999999999E-3</c:v>
                </c:pt>
                <c:pt idx="9">
                  <c:v>0.10580000000000001</c:v>
                </c:pt>
                <c:pt idx="10">
                  <c:v>0.22040000000000001</c:v>
                </c:pt>
                <c:pt idx="11">
                  <c:v>0.13919999999999999</c:v>
                </c:pt>
                <c:pt idx="12">
                  <c:v>0.2273</c:v>
                </c:pt>
                <c:pt idx="13">
                  <c:v>9.4E-2</c:v>
                </c:pt>
                <c:pt idx="14">
                  <c:v>2.53E-2</c:v>
                </c:pt>
                <c:pt idx="15">
                  <c:v>0.29830000000000001</c:v>
                </c:pt>
                <c:pt idx="16">
                  <c:v>0.13289999999999999</c:v>
                </c:pt>
                <c:pt idx="17">
                  <c:v>-2.9399999999999999E-2</c:v>
                </c:pt>
                <c:pt idx="18">
                  <c:v>0.15229999999999999</c:v>
                </c:pt>
                <c:pt idx="19">
                  <c:v>0.19040000000000001</c:v>
                </c:pt>
                <c:pt idx="20">
                  <c:v>0.2243</c:v>
                </c:pt>
                <c:pt idx="21">
                  <c:v>0.30549999999999999</c:v>
                </c:pt>
                <c:pt idx="22">
                  <c:v>0.15640000000000001</c:v>
                </c:pt>
                <c:pt idx="23">
                  <c:v>0.1741</c:v>
                </c:pt>
                <c:pt idx="24">
                  <c:v>3.0099999999999998E-2</c:v>
                </c:pt>
                <c:pt idx="25">
                  <c:v>0.1004</c:v>
                </c:pt>
                <c:pt idx="26">
                  <c:v>0.2036</c:v>
                </c:pt>
                <c:pt idx="27">
                  <c:v>7.46E-2</c:v>
                </c:pt>
                <c:pt idx="28">
                  <c:v>0.15670000000000001</c:v>
                </c:pt>
                <c:pt idx="29">
                  <c:v>0.23619999999999999</c:v>
                </c:pt>
                <c:pt idx="30">
                  <c:v>0.1489</c:v>
                </c:pt>
                <c:pt idx="31">
                  <c:v>2.9600000000000001E-2</c:v>
                </c:pt>
                <c:pt idx="32">
                  <c:v>0.15010000000000001</c:v>
                </c:pt>
                <c:pt idx="33">
                  <c:v>6.2100000000000002E-2</c:v>
                </c:pt>
                <c:pt idx="34">
                  <c:v>2.6100000000000002E-2</c:v>
                </c:pt>
                <c:pt idx="35">
                  <c:v>0.17649999999999999</c:v>
                </c:pt>
                <c:pt idx="36">
                  <c:v>0.18579999999999999</c:v>
                </c:pt>
                <c:pt idx="37">
                  <c:v>0.18140000000000001</c:v>
                </c:pt>
                <c:pt idx="38">
                  <c:v>7.7000000000000002E-3</c:v>
                </c:pt>
                <c:pt idx="39">
                  <c:v>-0.6018</c:v>
                </c:pt>
                <c:pt idx="40">
                  <c:v>-0.51100000000000001</c:v>
                </c:pt>
                <c:pt idx="41">
                  <c:v>-0.29170000000000001</c:v>
                </c:pt>
                <c:pt idx="42">
                  <c:v>-0.14080000000000001</c:v>
                </c:pt>
                <c:pt idx="43">
                  <c:v>-0.12640000000000001</c:v>
                </c:pt>
                <c:pt idx="44">
                  <c:v>1.3100000000000001E-2</c:v>
                </c:pt>
                <c:pt idx="45">
                  <c:v>0.13320000000000001</c:v>
                </c:pt>
                <c:pt idx="46">
                  <c:v>0.2752</c:v>
                </c:pt>
                <c:pt idx="47">
                  <c:v>0.31480000000000002</c:v>
                </c:pt>
                <c:pt idx="48">
                  <c:v>3.0099999999999998E-2</c:v>
                </c:pt>
                <c:pt idx="49">
                  <c:v>0.1239</c:v>
                </c:pt>
                <c:pt idx="50">
                  <c:v>0.4556</c:v>
                </c:pt>
                <c:pt idx="51">
                  <c:v>2.7616999999999998</c:v>
                </c:pt>
                <c:pt idx="52">
                  <c:v>1.9045000000000001</c:v>
                </c:pt>
                <c:pt idx="53">
                  <c:v>1.1628000000000001</c:v>
                </c:pt>
                <c:pt idx="54">
                  <c:v>0.66120000000000001</c:v>
                </c:pt>
                <c:pt idx="55">
                  <c:v>0.71299999999999997</c:v>
                </c:pt>
                <c:pt idx="56">
                  <c:v>0.5212</c:v>
                </c:pt>
                <c:pt idx="57">
                  <c:v>0.28010000000000002</c:v>
                </c:pt>
                <c:pt idx="58">
                  <c:v>0.37569999999999998</c:v>
                </c:pt>
                <c:pt idx="59">
                  <c:v>0.29220000000000002</c:v>
                </c:pt>
                <c:pt idx="60">
                  <c:v>0.40489999999999998</c:v>
                </c:pt>
                <c:pt idx="61">
                  <c:v>0.34189999999999998</c:v>
                </c:pt>
                <c:pt idx="62">
                  <c:v>0.21929999999999999</c:v>
                </c:pt>
                <c:pt idx="63">
                  <c:v>0.13239999999999999</c:v>
                </c:pt>
                <c:pt idx="64">
                  <c:v>0.17330000000000001</c:v>
                </c:pt>
                <c:pt idx="65">
                  <c:v>0.14660000000000001</c:v>
                </c:pt>
                <c:pt idx="66">
                  <c:v>4.7500000000000001E-2</c:v>
                </c:pt>
                <c:pt idx="67">
                  <c:v>0.13189999999999999</c:v>
                </c:pt>
                <c:pt idx="68">
                  <c:v>3.49E-2</c:v>
                </c:pt>
                <c:pt idx="69">
                  <c:v>3.0499999999999999E-2</c:v>
                </c:pt>
                <c:pt idx="70">
                  <c:v>-4.6100000000000002E-2</c:v>
                </c:pt>
                <c:pt idx="71">
                  <c:v>-0.1106</c:v>
                </c:pt>
                <c:pt idx="72">
                  <c:v>-0.1409</c:v>
                </c:pt>
                <c:pt idx="73">
                  <c:v>-0.15890000000000001</c:v>
                </c:pt>
                <c:pt idx="74">
                  <c:v>-0.14349999999999999</c:v>
                </c:pt>
                <c:pt idx="75">
                  <c:v>-0.22720000000000001</c:v>
                </c:pt>
                <c:pt idx="76">
                  <c:v>-0.15260000000000001</c:v>
                </c:pt>
                <c:pt idx="77">
                  <c:v>-0.17199999999999999</c:v>
                </c:pt>
                <c:pt idx="78">
                  <c:v>-0.1366</c:v>
                </c:pt>
                <c:pt idx="79">
                  <c:v>-0.2041</c:v>
                </c:pt>
                <c:pt idx="80">
                  <c:v>-0.23150000000000001</c:v>
                </c:pt>
                <c:pt idx="81">
                  <c:v>-0.22090000000000001</c:v>
                </c:pt>
                <c:pt idx="82">
                  <c:v>-0.24579999999999999</c:v>
                </c:pt>
                <c:pt idx="83">
                  <c:v>-0.25800000000000001</c:v>
                </c:pt>
                <c:pt idx="84">
                  <c:v>-0.1016</c:v>
                </c:pt>
                <c:pt idx="85">
                  <c:v>-8.5099999999999995E-2</c:v>
                </c:pt>
                <c:pt idx="86">
                  <c:v>-0.29210000000000003</c:v>
                </c:pt>
                <c:pt idx="87">
                  <c:v>2.5100000000000001E-2</c:v>
                </c:pt>
                <c:pt idx="88">
                  <c:v>-0.19400000000000001</c:v>
                </c:pt>
                <c:pt idx="89">
                  <c:v>-0.23519999999999999</c:v>
                </c:pt>
                <c:pt idx="90">
                  <c:v>-0.16930000000000001</c:v>
                </c:pt>
                <c:pt idx="91">
                  <c:v>-0.20899999999999999</c:v>
                </c:pt>
                <c:pt idx="92">
                  <c:v>-0.1845</c:v>
                </c:pt>
                <c:pt idx="93">
                  <c:v>-0.1172</c:v>
                </c:pt>
                <c:pt idx="94">
                  <c:v>-0.16669999999999999</c:v>
                </c:pt>
                <c:pt idx="95">
                  <c:v>-9.7900000000000001E-2</c:v>
                </c:pt>
                <c:pt idx="96">
                  <c:v>-0.19670000000000001</c:v>
                </c:pt>
                <c:pt idx="97">
                  <c:v>-0.1923</c:v>
                </c:pt>
              </c:numCache>
            </c:numRef>
          </c:val>
          <c:smooth val="1"/>
          <c:extLst>
            <c:ext xmlns:c16="http://schemas.microsoft.com/office/drawing/2014/chart" uri="{C3380CC4-5D6E-409C-BE32-E72D297353CC}">
              <c16:uniqueId val="{00000001-EB8D-44B6-9B7B-156EAA9D56C9}"/>
            </c:ext>
          </c:extLst>
        </c:ser>
        <c:ser>
          <c:idx val="2"/>
          <c:order val="2"/>
          <c:tx>
            <c:strRef>
              <c:f>'Figure B1. a)'!$K$1</c:f>
              <c:strCache>
                <c:ptCount val="1"/>
                <c:pt idx="0">
                  <c:v>Mexico</c:v>
                </c:pt>
              </c:strCache>
            </c:strRef>
          </c:tx>
          <c:spPr>
            <a:ln w="28575" cap="rnd">
              <a:solidFill>
                <a:schemeClr val="bg2">
                  <a:lumMod val="75000"/>
                </a:schemeClr>
              </a:solidFill>
              <a:round/>
            </a:ln>
            <a:effectLst/>
          </c:spPr>
          <c:marker>
            <c:symbol val="none"/>
          </c:marker>
          <c:cat>
            <c:numRef>
              <c:f>'Figure B1. a)'!$A$2:$A$99</c:f>
              <c:numCache>
                <c:formatCode>General</c:formatCode>
                <c:ptCount val="98"/>
                <c:pt idx="0">
                  <c:v>2017</c:v>
                </c:pt>
                <c:pt idx="12">
                  <c:v>2018</c:v>
                </c:pt>
                <c:pt idx="24">
                  <c:v>2019</c:v>
                </c:pt>
                <c:pt idx="36">
                  <c:v>2020</c:v>
                </c:pt>
                <c:pt idx="48">
                  <c:v>2021</c:v>
                </c:pt>
                <c:pt idx="60">
                  <c:v>2022</c:v>
                </c:pt>
                <c:pt idx="72">
                  <c:v>2023</c:v>
                </c:pt>
                <c:pt idx="84">
                  <c:v>2024</c:v>
                </c:pt>
                <c:pt idx="96">
                  <c:v>2025</c:v>
                </c:pt>
              </c:numCache>
            </c:numRef>
          </c:cat>
          <c:val>
            <c:numRef>
              <c:f>'Figure B1. a)'!$K$2:$K$99</c:f>
              <c:numCache>
                <c:formatCode>0.00</c:formatCode>
                <c:ptCount val="98"/>
                <c:pt idx="0">
                  <c:v>-8.6E-3</c:v>
                </c:pt>
                <c:pt idx="1">
                  <c:v>-7.0999999999999994E-2</c:v>
                </c:pt>
                <c:pt idx="2">
                  <c:v>9.9699999999999997E-2</c:v>
                </c:pt>
                <c:pt idx="3">
                  <c:v>-6.6799999999999998E-2</c:v>
                </c:pt>
                <c:pt idx="4">
                  <c:v>-6.9999999999999999E-4</c:v>
                </c:pt>
                <c:pt idx="5">
                  <c:v>2.12E-2</c:v>
                </c:pt>
                <c:pt idx="6">
                  <c:v>0.13089999999999999</c:v>
                </c:pt>
                <c:pt idx="7">
                  <c:v>8.1699999999999995E-2</c:v>
                </c:pt>
                <c:pt idx="8">
                  <c:v>2.7400000000000001E-2</c:v>
                </c:pt>
                <c:pt idx="9">
                  <c:v>5.7299999999999997E-2</c:v>
                </c:pt>
                <c:pt idx="10">
                  <c:v>3.7400000000000003E-2</c:v>
                </c:pt>
                <c:pt idx="11">
                  <c:v>-5.62E-2</c:v>
                </c:pt>
                <c:pt idx="12">
                  <c:v>5.1499999999999997E-2</c:v>
                </c:pt>
                <c:pt idx="13">
                  <c:v>0.10150000000000001</c:v>
                </c:pt>
                <c:pt idx="14">
                  <c:v>4.1000000000000003E-3</c:v>
                </c:pt>
                <c:pt idx="15">
                  <c:v>0.18090000000000001</c:v>
                </c:pt>
                <c:pt idx="16">
                  <c:v>0.11219999999999999</c:v>
                </c:pt>
                <c:pt idx="17">
                  <c:v>5.2400000000000002E-2</c:v>
                </c:pt>
                <c:pt idx="18">
                  <c:v>9.9000000000000005E-2</c:v>
                </c:pt>
                <c:pt idx="19">
                  <c:v>4.4600000000000001E-2</c:v>
                </c:pt>
                <c:pt idx="20">
                  <c:v>0.107</c:v>
                </c:pt>
                <c:pt idx="21">
                  <c:v>0.16639999999999999</c:v>
                </c:pt>
                <c:pt idx="22">
                  <c:v>1.8800000000000001E-2</c:v>
                </c:pt>
                <c:pt idx="23">
                  <c:v>0.10539999999999999</c:v>
                </c:pt>
                <c:pt idx="24">
                  <c:v>6.0299999999999999E-2</c:v>
                </c:pt>
                <c:pt idx="25">
                  <c:v>2.8899999999999999E-2</c:v>
                </c:pt>
                <c:pt idx="26">
                  <c:v>6.0100000000000001E-2</c:v>
                </c:pt>
                <c:pt idx="27">
                  <c:v>4.07E-2</c:v>
                </c:pt>
                <c:pt idx="28">
                  <c:v>-3.2099999999999997E-2</c:v>
                </c:pt>
                <c:pt idx="29">
                  <c:v>6.2100000000000002E-2</c:v>
                </c:pt>
                <c:pt idx="30">
                  <c:v>8.2000000000000003E-2</c:v>
                </c:pt>
                <c:pt idx="31">
                  <c:v>1.0999999999999999E-2</c:v>
                </c:pt>
                <c:pt idx="32">
                  <c:v>6.6900000000000001E-2</c:v>
                </c:pt>
                <c:pt idx="33">
                  <c:v>8.9999999999999993E-3</c:v>
                </c:pt>
                <c:pt idx="34">
                  <c:v>0.1158</c:v>
                </c:pt>
                <c:pt idx="35">
                  <c:v>9.4899999999999998E-2</c:v>
                </c:pt>
                <c:pt idx="36">
                  <c:v>4.0500000000000001E-2</c:v>
                </c:pt>
                <c:pt idx="37">
                  <c:v>0.11940000000000001</c:v>
                </c:pt>
                <c:pt idx="38">
                  <c:v>-2.8E-3</c:v>
                </c:pt>
                <c:pt idx="39">
                  <c:v>-0.54490000000000005</c:v>
                </c:pt>
                <c:pt idx="40">
                  <c:v>-0.54869999999999997</c:v>
                </c:pt>
                <c:pt idx="41">
                  <c:v>-0.38929999999999998</c:v>
                </c:pt>
                <c:pt idx="42">
                  <c:v>-0.28710000000000002</c:v>
                </c:pt>
                <c:pt idx="43">
                  <c:v>-0.2122</c:v>
                </c:pt>
                <c:pt idx="44">
                  <c:v>-0.1129</c:v>
                </c:pt>
                <c:pt idx="45">
                  <c:v>-2.7900000000000001E-2</c:v>
                </c:pt>
                <c:pt idx="46">
                  <c:v>5.6000000000000001E-2</c:v>
                </c:pt>
                <c:pt idx="47">
                  <c:v>0.11849999999999999</c:v>
                </c:pt>
                <c:pt idx="48">
                  <c:v>-7.4700000000000003E-2</c:v>
                </c:pt>
                <c:pt idx="49">
                  <c:v>5.21E-2</c:v>
                </c:pt>
                <c:pt idx="50">
                  <c:v>0.29630000000000001</c:v>
                </c:pt>
                <c:pt idx="51">
                  <c:v>1.7143999999999999</c:v>
                </c:pt>
                <c:pt idx="52">
                  <c:v>1.9105000000000001</c:v>
                </c:pt>
                <c:pt idx="53">
                  <c:v>1.1145</c:v>
                </c:pt>
                <c:pt idx="54">
                  <c:v>0.6915</c:v>
                </c:pt>
                <c:pt idx="55">
                  <c:v>0.69479999999999997</c:v>
                </c:pt>
                <c:pt idx="56">
                  <c:v>0.56810000000000005</c:v>
                </c:pt>
                <c:pt idx="57">
                  <c:v>0.38340000000000002</c:v>
                </c:pt>
                <c:pt idx="58">
                  <c:v>0.45789999999999997</c:v>
                </c:pt>
                <c:pt idx="59">
                  <c:v>0.36359999999999998</c:v>
                </c:pt>
                <c:pt idx="60">
                  <c:v>0.41049999999999998</c:v>
                </c:pt>
                <c:pt idx="61">
                  <c:v>0.26369999999999999</c:v>
                </c:pt>
                <c:pt idx="62">
                  <c:v>0.24740000000000001</c:v>
                </c:pt>
                <c:pt idx="63">
                  <c:v>0.16539999999999999</c:v>
                </c:pt>
                <c:pt idx="64">
                  <c:v>0.19359999999999999</c:v>
                </c:pt>
                <c:pt idx="65">
                  <c:v>0.1268</c:v>
                </c:pt>
                <c:pt idx="66">
                  <c:v>6.9099999999999995E-2</c:v>
                </c:pt>
                <c:pt idx="67">
                  <c:v>8.9300000000000004E-2</c:v>
                </c:pt>
                <c:pt idx="68">
                  <c:v>-5.28E-2</c:v>
                </c:pt>
                <c:pt idx="69">
                  <c:v>-2.64E-2</c:v>
                </c:pt>
                <c:pt idx="70">
                  <c:v>-0.14050000000000001</c:v>
                </c:pt>
                <c:pt idx="71">
                  <c:v>-0.14299999999999999</c:v>
                </c:pt>
                <c:pt idx="72">
                  <c:v>-8.1000000000000003E-2</c:v>
                </c:pt>
                <c:pt idx="73">
                  <c:v>-0.156</c:v>
                </c:pt>
                <c:pt idx="74">
                  <c:v>-0.1883</c:v>
                </c:pt>
                <c:pt idx="75">
                  <c:v>-0.23769999999999999</c:v>
                </c:pt>
                <c:pt idx="76">
                  <c:v>-0.17130000000000001</c:v>
                </c:pt>
                <c:pt idx="77">
                  <c:v>-0.1615</c:v>
                </c:pt>
                <c:pt idx="78">
                  <c:v>-0.13170000000000001</c:v>
                </c:pt>
                <c:pt idx="79">
                  <c:v>-0.21429999999999999</c:v>
                </c:pt>
                <c:pt idx="80">
                  <c:v>-0.15609999999999999</c:v>
                </c:pt>
                <c:pt idx="81">
                  <c:v>-0.14560000000000001</c:v>
                </c:pt>
                <c:pt idx="82">
                  <c:v>-0.18440000000000001</c:v>
                </c:pt>
                <c:pt idx="83">
                  <c:v>-0.20660000000000001</c:v>
                </c:pt>
                <c:pt idx="84">
                  <c:v>-0.16489999999999999</c:v>
                </c:pt>
                <c:pt idx="85">
                  <c:v>-0.1197</c:v>
                </c:pt>
                <c:pt idx="86">
                  <c:v>-0.23810000000000001</c:v>
                </c:pt>
                <c:pt idx="87">
                  <c:v>-4.7999999999999996E-3</c:v>
                </c:pt>
                <c:pt idx="88">
                  <c:v>-0.20349999999999999</c:v>
                </c:pt>
                <c:pt idx="89">
                  <c:v>-0.21809999999999999</c:v>
                </c:pt>
                <c:pt idx="90">
                  <c:v>-0.1363</c:v>
                </c:pt>
                <c:pt idx="91">
                  <c:v>-0.2036</c:v>
                </c:pt>
                <c:pt idx="92">
                  <c:v>-0.19189999999999999</c:v>
                </c:pt>
                <c:pt idx="93">
                  <c:v>-0.1938</c:v>
                </c:pt>
                <c:pt idx="94">
                  <c:v>-0.1633</c:v>
                </c:pt>
                <c:pt idx="95">
                  <c:v>-0.12280000000000001</c:v>
                </c:pt>
                <c:pt idx="96">
                  <c:v>-0.16830000000000001</c:v>
                </c:pt>
                <c:pt idx="97">
                  <c:v>-0.1527</c:v>
                </c:pt>
              </c:numCache>
            </c:numRef>
          </c:val>
          <c:smooth val="1"/>
          <c:extLst>
            <c:ext xmlns:c16="http://schemas.microsoft.com/office/drawing/2014/chart" uri="{C3380CC4-5D6E-409C-BE32-E72D297353CC}">
              <c16:uniqueId val="{00000002-EB8D-44B6-9B7B-156EAA9D56C9}"/>
            </c:ext>
          </c:extLst>
        </c:ser>
        <c:ser>
          <c:idx val="3"/>
          <c:order val="3"/>
          <c:tx>
            <c:strRef>
              <c:f>'Figure B1. a)'!$O$1</c:f>
              <c:strCache>
                <c:ptCount val="1"/>
                <c:pt idx="0">
                  <c:v>Central America</c:v>
                </c:pt>
              </c:strCache>
            </c:strRef>
          </c:tx>
          <c:spPr>
            <a:ln w="28575" cap="rnd">
              <a:solidFill>
                <a:srgbClr val="00B0F0"/>
              </a:solidFill>
              <a:round/>
            </a:ln>
            <a:effectLst/>
          </c:spPr>
          <c:marker>
            <c:symbol val="none"/>
          </c:marker>
          <c:cat>
            <c:numRef>
              <c:f>'Figure B1. a)'!$A$2:$A$99</c:f>
              <c:numCache>
                <c:formatCode>General</c:formatCode>
                <c:ptCount val="98"/>
                <c:pt idx="0">
                  <c:v>2017</c:v>
                </c:pt>
                <c:pt idx="12">
                  <c:v>2018</c:v>
                </c:pt>
                <c:pt idx="24">
                  <c:v>2019</c:v>
                </c:pt>
                <c:pt idx="36">
                  <c:v>2020</c:v>
                </c:pt>
                <c:pt idx="48">
                  <c:v>2021</c:v>
                </c:pt>
                <c:pt idx="60">
                  <c:v>2022</c:v>
                </c:pt>
                <c:pt idx="72">
                  <c:v>2023</c:v>
                </c:pt>
                <c:pt idx="84">
                  <c:v>2024</c:v>
                </c:pt>
                <c:pt idx="96">
                  <c:v>2025</c:v>
                </c:pt>
              </c:numCache>
            </c:numRef>
          </c:cat>
          <c:val>
            <c:numRef>
              <c:f>'Figure B1. a)'!$O$2:$O$99</c:f>
              <c:numCache>
                <c:formatCode>0.00</c:formatCode>
                <c:ptCount val="98"/>
                <c:pt idx="0">
                  <c:v>3.11666666666667E-2</c:v>
                </c:pt>
                <c:pt idx="1">
                  <c:v>5.8466666666666701E-2</c:v>
                </c:pt>
                <c:pt idx="2">
                  <c:v>0.15759999999999999</c:v>
                </c:pt>
                <c:pt idx="3">
                  <c:v>3.5200000000000002E-2</c:v>
                </c:pt>
                <c:pt idx="4">
                  <c:v>0.1255</c:v>
                </c:pt>
                <c:pt idx="5">
                  <c:v>-1.6766666666666701E-2</c:v>
                </c:pt>
                <c:pt idx="6">
                  <c:v>0.19070000000000001</c:v>
                </c:pt>
                <c:pt idx="7">
                  <c:v>0.10226666666666701</c:v>
                </c:pt>
                <c:pt idx="8">
                  <c:v>0.11083333333333301</c:v>
                </c:pt>
                <c:pt idx="9">
                  <c:v>0.1026</c:v>
                </c:pt>
                <c:pt idx="10">
                  <c:v>7.5033333333333299E-2</c:v>
                </c:pt>
                <c:pt idx="11">
                  <c:v>6.4066666666666702E-2</c:v>
                </c:pt>
                <c:pt idx="12">
                  <c:v>0.13519999999999999</c:v>
                </c:pt>
                <c:pt idx="13">
                  <c:v>0.105233333333333</c:v>
                </c:pt>
                <c:pt idx="14">
                  <c:v>-2.1399999999999999E-2</c:v>
                </c:pt>
                <c:pt idx="15">
                  <c:v>0.117966666666667</c:v>
                </c:pt>
                <c:pt idx="16">
                  <c:v>0.19450000000000001</c:v>
                </c:pt>
                <c:pt idx="17">
                  <c:v>0.20583333333333301</c:v>
                </c:pt>
                <c:pt idx="18">
                  <c:v>0.13926666666666701</c:v>
                </c:pt>
                <c:pt idx="19">
                  <c:v>5.1133333333333301E-2</c:v>
                </c:pt>
                <c:pt idx="20">
                  <c:v>2.78333333333333E-2</c:v>
                </c:pt>
                <c:pt idx="21">
                  <c:v>0.26176666666666698</c:v>
                </c:pt>
                <c:pt idx="22">
                  <c:v>0.14426666666666699</c:v>
                </c:pt>
                <c:pt idx="23">
                  <c:v>0.19819999999999999</c:v>
                </c:pt>
                <c:pt idx="24">
                  <c:v>-7.8333333333333297E-2</c:v>
                </c:pt>
                <c:pt idx="25">
                  <c:v>-1.08666666666667E-2</c:v>
                </c:pt>
                <c:pt idx="26">
                  <c:v>0.15029999999999999</c:v>
                </c:pt>
                <c:pt idx="27">
                  <c:v>0.11056666666666699</c:v>
                </c:pt>
                <c:pt idx="28">
                  <c:v>-1.3599999999999999E-2</c:v>
                </c:pt>
                <c:pt idx="29">
                  <c:v>3.2633333333333299E-2</c:v>
                </c:pt>
                <c:pt idx="30">
                  <c:v>5.4366666666666702E-2</c:v>
                </c:pt>
                <c:pt idx="31">
                  <c:v>0.128233333333333</c:v>
                </c:pt>
                <c:pt idx="32">
                  <c:v>0.219033333333333</c:v>
                </c:pt>
                <c:pt idx="33">
                  <c:v>2.94666666666667E-2</c:v>
                </c:pt>
                <c:pt idx="34">
                  <c:v>0.14083333333333301</c:v>
                </c:pt>
                <c:pt idx="35">
                  <c:v>0.15456666666666699</c:v>
                </c:pt>
                <c:pt idx="36">
                  <c:v>0.25436666666666702</c:v>
                </c:pt>
                <c:pt idx="37">
                  <c:v>0.19673333333333301</c:v>
                </c:pt>
                <c:pt idx="38">
                  <c:v>-7.0666666666666697E-2</c:v>
                </c:pt>
                <c:pt idx="39">
                  <c:v>-0.55769999999999997</c:v>
                </c:pt>
                <c:pt idx="40">
                  <c:v>-0.49990000000000001</c:v>
                </c:pt>
                <c:pt idx="41">
                  <c:v>-0.28943333333333299</c:v>
                </c:pt>
                <c:pt idx="42">
                  <c:v>-0.196333333333333</c:v>
                </c:pt>
                <c:pt idx="43">
                  <c:v>-0.1467</c:v>
                </c:pt>
                <c:pt idx="44">
                  <c:v>-3.6799999999999999E-2</c:v>
                </c:pt>
                <c:pt idx="45">
                  <c:v>0.10943333333333299</c:v>
                </c:pt>
                <c:pt idx="46">
                  <c:v>0.116833333333333</c:v>
                </c:pt>
                <c:pt idx="47">
                  <c:v>0.123466666666667</c:v>
                </c:pt>
                <c:pt idx="48">
                  <c:v>-6.5666666666666706E-2</c:v>
                </c:pt>
                <c:pt idx="49">
                  <c:v>0.16116666666666701</c:v>
                </c:pt>
                <c:pt idx="50">
                  <c:v>0.478333333333333</c:v>
                </c:pt>
                <c:pt idx="51">
                  <c:v>2.4255</c:v>
                </c:pt>
                <c:pt idx="52">
                  <c:v>2.0470999999999999</c:v>
                </c:pt>
                <c:pt idx="53">
                  <c:v>1.0407666666666699</c:v>
                </c:pt>
                <c:pt idx="54">
                  <c:v>0.73616666666666697</c:v>
                </c:pt>
                <c:pt idx="55">
                  <c:v>0.60870000000000002</c:v>
                </c:pt>
                <c:pt idx="56">
                  <c:v>0.45219999999999999</c:v>
                </c:pt>
                <c:pt idx="57">
                  <c:v>0.20899999999999999</c:v>
                </c:pt>
                <c:pt idx="58">
                  <c:v>0.38679999999999998</c:v>
                </c:pt>
                <c:pt idx="59">
                  <c:v>0.31323333333333298</c:v>
                </c:pt>
                <c:pt idx="60">
                  <c:v>0.41816666666666702</c:v>
                </c:pt>
                <c:pt idx="61">
                  <c:v>0.19726666666666701</c:v>
                </c:pt>
                <c:pt idx="62">
                  <c:v>0.29116666666666702</c:v>
                </c:pt>
                <c:pt idx="63">
                  <c:v>0.25563333333333299</c:v>
                </c:pt>
                <c:pt idx="64">
                  <c:v>0.191066666666667</c:v>
                </c:pt>
                <c:pt idx="65">
                  <c:v>0.180166666666667</c:v>
                </c:pt>
                <c:pt idx="66">
                  <c:v>9.9833333333333302E-2</c:v>
                </c:pt>
                <c:pt idx="67">
                  <c:v>0.14763333333333301</c:v>
                </c:pt>
                <c:pt idx="68">
                  <c:v>5.3900000000000003E-2</c:v>
                </c:pt>
                <c:pt idx="69">
                  <c:v>3.7400000000000003E-2</c:v>
                </c:pt>
                <c:pt idx="70">
                  <c:v>-7.5366666666666707E-2</c:v>
                </c:pt>
                <c:pt idx="71">
                  <c:v>-0.109866666666667</c:v>
                </c:pt>
                <c:pt idx="72">
                  <c:v>-8.18333333333333E-2</c:v>
                </c:pt>
                <c:pt idx="73">
                  <c:v>-6.6966666666666702E-2</c:v>
                </c:pt>
                <c:pt idx="74">
                  <c:v>-0.13600000000000001</c:v>
                </c:pt>
                <c:pt idx="75">
                  <c:v>-0.26343333333333302</c:v>
                </c:pt>
                <c:pt idx="76">
                  <c:v>-0.19096666666666701</c:v>
                </c:pt>
                <c:pt idx="77">
                  <c:v>-0.15303333333333299</c:v>
                </c:pt>
                <c:pt idx="78">
                  <c:v>-0.14406666666666701</c:v>
                </c:pt>
                <c:pt idx="79">
                  <c:v>-0.207166666666667</c:v>
                </c:pt>
                <c:pt idx="80">
                  <c:v>-0.1721</c:v>
                </c:pt>
                <c:pt idx="81">
                  <c:v>-0.12593333333333301</c:v>
                </c:pt>
                <c:pt idx="82">
                  <c:v>-0.15506666666666699</c:v>
                </c:pt>
                <c:pt idx="83">
                  <c:v>-0.13893333333333299</c:v>
                </c:pt>
                <c:pt idx="84">
                  <c:v>-9.3966666666666698E-2</c:v>
                </c:pt>
                <c:pt idx="85">
                  <c:v>-8.4833333333333302E-2</c:v>
                </c:pt>
                <c:pt idx="86">
                  <c:v>-0.26543333333333302</c:v>
                </c:pt>
                <c:pt idx="87">
                  <c:v>0.118466666666667</c:v>
                </c:pt>
                <c:pt idx="88">
                  <c:v>-6.3799999999999996E-2</c:v>
                </c:pt>
                <c:pt idx="89">
                  <c:v>-0.15379999999999999</c:v>
                </c:pt>
                <c:pt idx="90">
                  <c:v>-0.10516666666666701</c:v>
                </c:pt>
                <c:pt idx="91">
                  <c:v>-0.11776666666666701</c:v>
                </c:pt>
                <c:pt idx="92">
                  <c:v>-5.0333333333333299E-2</c:v>
                </c:pt>
                <c:pt idx="93">
                  <c:v>-7.2400000000000006E-2</c:v>
                </c:pt>
                <c:pt idx="94">
                  <c:v>-0.1166</c:v>
                </c:pt>
                <c:pt idx="95">
                  <c:v>-6.9699999999999998E-2</c:v>
                </c:pt>
                <c:pt idx="96">
                  <c:v>-0.1522</c:v>
                </c:pt>
                <c:pt idx="97">
                  <c:v>-0.115033333333333</c:v>
                </c:pt>
              </c:numCache>
            </c:numRef>
          </c:val>
          <c:smooth val="1"/>
          <c:extLst>
            <c:ext xmlns:c16="http://schemas.microsoft.com/office/drawing/2014/chart" uri="{C3380CC4-5D6E-409C-BE32-E72D297353CC}">
              <c16:uniqueId val="{00000003-EB8D-44B6-9B7B-156EAA9D56C9}"/>
            </c:ext>
          </c:extLst>
        </c:ser>
        <c:ser>
          <c:idx val="4"/>
          <c:order val="4"/>
          <c:tx>
            <c:strRef>
              <c:f>'Figure B1. a)'!$P$1</c:f>
              <c:strCache>
                <c:ptCount val="1"/>
                <c:pt idx="0">
                  <c:v>Andean Region</c:v>
                </c:pt>
              </c:strCache>
            </c:strRef>
          </c:tx>
          <c:spPr>
            <a:ln w="28575" cap="rnd">
              <a:solidFill>
                <a:srgbClr val="00B050"/>
              </a:solidFill>
              <a:round/>
            </a:ln>
            <a:effectLst/>
          </c:spPr>
          <c:marker>
            <c:symbol val="none"/>
          </c:marker>
          <c:cat>
            <c:numRef>
              <c:f>'Figure B1. a)'!$A$2:$A$99</c:f>
              <c:numCache>
                <c:formatCode>General</c:formatCode>
                <c:ptCount val="98"/>
                <c:pt idx="0">
                  <c:v>2017</c:v>
                </c:pt>
                <c:pt idx="12">
                  <c:v>2018</c:v>
                </c:pt>
                <c:pt idx="24">
                  <c:v>2019</c:v>
                </c:pt>
                <c:pt idx="36">
                  <c:v>2020</c:v>
                </c:pt>
                <c:pt idx="48">
                  <c:v>2021</c:v>
                </c:pt>
                <c:pt idx="60">
                  <c:v>2022</c:v>
                </c:pt>
                <c:pt idx="72">
                  <c:v>2023</c:v>
                </c:pt>
                <c:pt idx="84">
                  <c:v>2024</c:v>
                </c:pt>
                <c:pt idx="96">
                  <c:v>2025</c:v>
                </c:pt>
              </c:numCache>
            </c:numRef>
          </c:cat>
          <c:val>
            <c:numRef>
              <c:f>'Figure B1. a)'!$P$2:$P$99</c:f>
              <c:numCache>
                <c:formatCode>0.00</c:formatCode>
                <c:ptCount val="98"/>
                <c:pt idx="0">
                  <c:v>2.4999999999999702E-4</c:v>
                </c:pt>
                <c:pt idx="1">
                  <c:v>-0.12245</c:v>
                </c:pt>
                <c:pt idx="2">
                  <c:v>5.7549999999999997E-2</c:v>
                </c:pt>
                <c:pt idx="3">
                  <c:v>-2.9225000000000001E-2</c:v>
                </c:pt>
                <c:pt idx="4">
                  <c:v>8.1125000000000003E-2</c:v>
                </c:pt>
                <c:pt idx="5">
                  <c:v>0.1293</c:v>
                </c:pt>
                <c:pt idx="6">
                  <c:v>7.2925000000000004E-2</c:v>
                </c:pt>
                <c:pt idx="7">
                  <c:v>0.13502500000000001</c:v>
                </c:pt>
                <c:pt idx="8">
                  <c:v>4.5725000000000002E-2</c:v>
                </c:pt>
                <c:pt idx="9">
                  <c:v>0.16575000000000001</c:v>
                </c:pt>
                <c:pt idx="10">
                  <c:v>0.22270000000000001</c:v>
                </c:pt>
                <c:pt idx="11">
                  <c:v>0.18912499999999999</c:v>
                </c:pt>
                <c:pt idx="12">
                  <c:v>0.15675</c:v>
                </c:pt>
                <c:pt idx="13">
                  <c:v>0.1913</c:v>
                </c:pt>
                <c:pt idx="14">
                  <c:v>0.12914999999999999</c:v>
                </c:pt>
                <c:pt idx="15">
                  <c:v>0.233125</c:v>
                </c:pt>
                <c:pt idx="16">
                  <c:v>0.16525000000000001</c:v>
                </c:pt>
                <c:pt idx="17">
                  <c:v>5.1475E-2</c:v>
                </c:pt>
                <c:pt idx="18">
                  <c:v>0.175425</c:v>
                </c:pt>
                <c:pt idx="19">
                  <c:v>0.14885000000000001</c:v>
                </c:pt>
                <c:pt idx="20">
                  <c:v>0.19005</c:v>
                </c:pt>
                <c:pt idx="21">
                  <c:v>0.216225</c:v>
                </c:pt>
                <c:pt idx="22">
                  <c:v>7.6325000000000004E-2</c:v>
                </c:pt>
                <c:pt idx="23">
                  <c:v>-9.4750000000000008E-3</c:v>
                </c:pt>
                <c:pt idx="24">
                  <c:v>9.9150000000000002E-2</c:v>
                </c:pt>
                <c:pt idx="25">
                  <c:v>0.107275</c:v>
                </c:pt>
                <c:pt idx="26">
                  <c:v>5.9725E-2</c:v>
                </c:pt>
                <c:pt idx="27">
                  <c:v>9.1274999999999995E-2</c:v>
                </c:pt>
                <c:pt idx="28">
                  <c:v>9.1825000000000004E-2</c:v>
                </c:pt>
                <c:pt idx="29">
                  <c:v>0.121725</c:v>
                </c:pt>
                <c:pt idx="30">
                  <c:v>6.8724999999999994E-2</c:v>
                </c:pt>
                <c:pt idx="31">
                  <c:v>4.6824999999999999E-2</c:v>
                </c:pt>
                <c:pt idx="32">
                  <c:v>7.4099999999999999E-2</c:v>
                </c:pt>
                <c:pt idx="33">
                  <c:v>-1.8075000000000001E-2</c:v>
                </c:pt>
                <c:pt idx="34">
                  <c:v>-0.10335</c:v>
                </c:pt>
                <c:pt idx="35">
                  <c:v>0.22877500000000001</c:v>
                </c:pt>
                <c:pt idx="36">
                  <c:v>0.13297500000000001</c:v>
                </c:pt>
                <c:pt idx="37">
                  <c:v>0.16339999999999999</c:v>
                </c:pt>
                <c:pt idx="38">
                  <c:v>-9.2700000000000005E-2</c:v>
                </c:pt>
                <c:pt idx="39">
                  <c:v>-0.69922499999999999</c:v>
                </c:pt>
                <c:pt idx="40">
                  <c:v>-0.58799999999999997</c:v>
                </c:pt>
                <c:pt idx="41">
                  <c:v>-0.36144999999999999</c:v>
                </c:pt>
                <c:pt idx="42">
                  <c:v>-0.15227499999999999</c:v>
                </c:pt>
                <c:pt idx="43">
                  <c:v>-0.23799999999999999</c:v>
                </c:pt>
                <c:pt idx="44">
                  <c:v>-6.0324999999999997E-2</c:v>
                </c:pt>
                <c:pt idx="45">
                  <c:v>2.8400000000000002E-2</c:v>
                </c:pt>
                <c:pt idx="46">
                  <c:v>0.35749999999999998</c:v>
                </c:pt>
                <c:pt idx="47">
                  <c:v>0.164575</c:v>
                </c:pt>
                <c:pt idx="48">
                  <c:v>-7.8125E-2</c:v>
                </c:pt>
                <c:pt idx="49">
                  <c:v>-4.215E-2</c:v>
                </c:pt>
                <c:pt idx="50">
                  <c:v>0.43522499999999997</c:v>
                </c:pt>
                <c:pt idx="51">
                  <c:v>2.9154249999999999</c:v>
                </c:pt>
                <c:pt idx="52">
                  <c:v>1.9157500000000001</c:v>
                </c:pt>
                <c:pt idx="53">
                  <c:v>0.99204999999999999</c:v>
                </c:pt>
                <c:pt idx="54">
                  <c:v>0.48370000000000002</c:v>
                </c:pt>
                <c:pt idx="55">
                  <c:v>0.52797499999999997</c:v>
                </c:pt>
                <c:pt idx="56">
                  <c:v>0.37325000000000003</c:v>
                </c:pt>
                <c:pt idx="57">
                  <c:v>0.29607499999999998</c:v>
                </c:pt>
                <c:pt idx="58">
                  <c:v>0.30409999999999998</c:v>
                </c:pt>
                <c:pt idx="59">
                  <c:v>0.1908</c:v>
                </c:pt>
                <c:pt idx="60">
                  <c:v>0.27779999999999999</c:v>
                </c:pt>
                <c:pt idx="61">
                  <c:v>0.34050000000000002</c:v>
                </c:pt>
                <c:pt idx="62">
                  <c:v>0.22512499999999999</c:v>
                </c:pt>
                <c:pt idx="63">
                  <c:v>0.21782499999999999</c:v>
                </c:pt>
                <c:pt idx="64">
                  <c:v>0.18440000000000001</c:v>
                </c:pt>
                <c:pt idx="65">
                  <c:v>0.1716</c:v>
                </c:pt>
                <c:pt idx="66">
                  <c:v>0.11272500000000001</c:v>
                </c:pt>
                <c:pt idx="67">
                  <c:v>0.221</c:v>
                </c:pt>
                <c:pt idx="68">
                  <c:v>9.5324999999999993E-2</c:v>
                </c:pt>
                <c:pt idx="69">
                  <c:v>2.2000000000000001E-3</c:v>
                </c:pt>
                <c:pt idx="70">
                  <c:v>-6.8275000000000002E-2</c:v>
                </c:pt>
                <c:pt idx="71">
                  <c:v>-7.2800000000000004E-2</c:v>
                </c:pt>
                <c:pt idx="72">
                  <c:v>-6.515E-2</c:v>
                </c:pt>
                <c:pt idx="73">
                  <c:v>-0.12330000000000001</c:v>
                </c:pt>
                <c:pt idx="74">
                  <c:v>-0.1045</c:v>
                </c:pt>
                <c:pt idx="75">
                  <c:v>-0.175375</c:v>
                </c:pt>
                <c:pt idx="76">
                  <c:v>-8.9300000000000004E-2</c:v>
                </c:pt>
                <c:pt idx="77">
                  <c:v>-0.10642500000000001</c:v>
                </c:pt>
                <c:pt idx="78">
                  <c:v>-0.11107499999999999</c:v>
                </c:pt>
                <c:pt idx="79">
                  <c:v>-0.13714999999999999</c:v>
                </c:pt>
                <c:pt idx="80">
                  <c:v>-0.13669999999999999</c:v>
                </c:pt>
                <c:pt idx="81">
                  <c:v>-0.107775</c:v>
                </c:pt>
                <c:pt idx="82">
                  <c:v>-8.9974999999999999E-2</c:v>
                </c:pt>
                <c:pt idx="83">
                  <c:v>-0.13342499999999999</c:v>
                </c:pt>
                <c:pt idx="84">
                  <c:v>-0.106075</c:v>
                </c:pt>
                <c:pt idx="85">
                  <c:v>-7.9824999999999993E-2</c:v>
                </c:pt>
                <c:pt idx="86">
                  <c:v>-0.21235000000000001</c:v>
                </c:pt>
                <c:pt idx="87">
                  <c:v>-1.1875E-2</c:v>
                </c:pt>
                <c:pt idx="88">
                  <c:v>-0.18732499999999999</c:v>
                </c:pt>
                <c:pt idx="89">
                  <c:v>-0.207925</c:v>
                </c:pt>
                <c:pt idx="90">
                  <c:v>-0.160525</c:v>
                </c:pt>
                <c:pt idx="91">
                  <c:v>-0.19722500000000001</c:v>
                </c:pt>
                <c:pt idx="92">
                  <c:v>-0.187725</c:v>
                </c:pt>
                <c:pt idx="93">
                  <c:v>-0.1118</c:v>
                </c:pt>
                <c:pt idx="94">
                  <c:v>-0.14532500000000001</c:v>
                </c:pt>
                <c:pt idx="95">
                  <c:v>-0.1069</c:v>
                </c:pt>
                <c:pt idx="96">
                  <c:v>-0.15659999999999999</c:v>
                </c:pt>
                <c:pt idx="97">
                  <c:v>-0.115525</c:v>
                </c:pt>
              </c:numCache>
            </c:numRef>
          </c:val>
          <c:smooth val="1"/>
          <c:extLst>
            <c:ext xmlns:c16="http://schemas.microsoft.com/office/drawing/2014/chart" uri="{C3380CC4-5D6E-409C-BE32-E72D297353CC}">
              <c16:uniqueId val="{00000004-EB8D-44B6-9B7B-156EAA9D56C9}"/>
            </c:ext>
          </c:extLst>
        </c:ser>
        <c:ser>
          <c:idx val="5"/>
          <c:order val="5"/>
          <c:tx>
            <c:strRef>
              <c:f>'Figure B1. a)'!$Q$1</c:f>
              <c:strCache>
                <c:ptCount val="1"/>
                <c:pt idx="0">
                  <c:v>Southern Cone</c:v>
                </c:pt>
              </c:strCache>
            </c:strRef>
          </c:tx>
          <c:spPr>
            <a:ln w="28575" cap="rnd">
              <a:solidFill>
                <a:schemeClr val="accent5">
                  <a:lumMod val="60000"/>
                  <a:lumOff val="40000"/>
                </a:schemeClr>
              </a:solidFill>
              <a:round/>
            </a:ln>
            <a:effectLst/>
          </c:spPr>
          <c:marker>
            <c:symbol val="none"/>
          </c:marker>
          <c:cat>
            <c:numRef>
              <c:f>'Figure B1. a)'!$A$2:$A$99</c:f>
              <c:numCache>
                <c:formatCode>General</c:formatCode>
                <c:ptCount val="98"/>
                <c:pt idx="0">
                  <c:v>2017</c:v>
                </c:pt>
                <c:pt idx="12">
                  <c:v>2018</c:v>
                </c:pt>
                <c:pt idx="24">
                  <c:v>2019</c:v>
                </c:pt>
                <c:pt idx="36">
                  <c:v>2020</c:v>
                </c:pt>
                <c:pt idx="48">
                  <c:v>2021</c:v>
                </c:pt>
                <c:pt idx="60">
                  <c:v>2022</c:v>
                </c:pt>
                <c:pt idx="72">
                  <c:v>2023</c:v>
                </c:pt>
                <c:pt idx="84">
                  <c:v>2024</c:v>
                </c:pt>
                <c:pt idx="96">
                  <c:v>2025</c:v>
                </c:pt>
              </c:numCache>
            </c:numRef>
          </c:cat>
          <c:val>
            <c:numRef>
              <c:f>'Figure B1. a)'!$Q$2:$Q$99</c:f>
              <c:numCache>
                <c:formatCode>0.00</c:formatCode>
                <c:ptCount val="98"/>
                <c:pt idx="0">
                  <c:v>4.5333333333333302E-3</c:v>
                </c:pt>
                <c:pt idx="1">
                  <c:v>-4.9700000000000001E-2</c:v>
                </c:pt>
                <c:pt idx="2">
                  <c:v>5.64666666666667E-2</c:v>
                </c:pt>
                <c:pt idx="3">
                  <c:v>-6.8766666666666698E-2</c:v>
                </c:pt>
                <c:pt idx="4">
                  <c:v>3.0933333333333299E-2</c:v>
                </c:pt>
                <c:pt idx="5">
                  <c:v>-6.2666666666666704E-3</c:v>
                </c:pt>
                <c:pt idx="6">
                  <c:v>8.4900000000000003E-2</c:v>
                </c:pt>
                <c:pt idx="7">
                  <c:v>5.7033333333333297E-2</c:v>
                </c:pt>
                <c:pt idx="8">
                  <c:v>4.5166666666666702E-2</c:v>
                </c:pt>
                <c:pt idx="9">
                  <c:v>9.88666666666667E-2</c:v>
                </c:pt>
                <c:pt idx="10">
                  <c:v>6.4566666666666703E-2</c:v>
                </c:pt>
                <c:pt idx="11">
                  <c:v>3.09E-2</c:v>
                </c:pt>
                <c:pt idx="12">
                  <c:v>7.8666666666666704E-2</c:v>
                </c:pt>
                <c:pt idx="13">
                  <c:v>0.116266666666667</c:v>
                </c:pt>
                <c:pt idx="14">
                  <c:v>5.3466666666666697E-2</c:v>
                </c:pt>
                <c:pt idx="15">
                  <c:v>0.23803333333333301</c:v>
                </c:pt>
                <c:pt idx="16">
                  <c:v>9.7000000000000003E-2</c:v>
                </c:pt>
                <c:pt idx="17">
                  <c:v>0.116466666666667</c:v>
                </c:pt>
                <c:pt idx="18">
                  <c:v>7.9633333333333306E-2</c:v>
                </c:pt>
                <c:pt idx="19">
                  <c:v>8.8266666666666702E-2</c:v>
                </c:pt>
                <c:pt idx="20">
                  <c:v>6.3833333333333298E-2</c:v>
                </c:pt>
                <c:pt idx="21">
                  <c:v>0.17833333333333301</c:v>
                </c:pt>
                <c:pt idx="22">
                  <c:v>7.8733333333333294E-2</c:v>
                </c:pt>
                <c:pt idx="23">
                  <c:v>7.9633333333333306E-2</c:v>
                </c:pt>
                <c:pt idx="24">
                  <c:v>4.4066666666666698E-2</c:v>
                </c:pt>
                <c:pt idx="25">
                  <c:v>6.2333333333333303E-2</c:v>
                </c:pt>
                <c:pt idx="26">
                  <c:v>3.1466666666666698E-2</c:v>
                </c:pt>
                <c:pt idx="27">
                  <c:v>1.4166666666666701E-2</c:v>
                </c:pt>
                <c:pt idx="28">
                  <c:v>-2.72333333333333E-2</c:v>
                </c:pt>
                <c:pt idx="29">
                  <c:v>2.8333333333333301E-2</c:v>
                </c:pt>
                <c:pt idx="30">
                  <c:v>0.105833333333333</c:v>
                </c:pt>
                <c:pt idx="31">
                  <c:v>5.33E-2</c:v>
                </c:pt>
                <c:pt idx="32">
                  <c:v>9.3033333333333301E-2</c:v>
                </c:pt>
                <c:pt idx="33">
                  <c:v>-2.7799999999999998E-2</c:v>
                </c:pt>
                <c:pt idx="34">
                  <c:v>-2.9866666666666701E-2</c:v>
                </c:pt>
                <c:pt idx="35">
                  <c:v>0.162266666666667</c:v>
                </c:pt>
                <c:pt idx="36">
                  <c:v>8.5366666666666702E-2</c:v>
                </c:pt>
                <c:pt idx="37">
                  <c:v>5.9799999999999999E-2</c:v>
                </c:pt>
                <c:pt idx="38">
                  <c:v>-0.12180000000000001</c:v>
                </c:pt>
                <c:pt idx="39">
                  <c:v>-0.57436666666666703</c:v>
                </c:pt>
                <c:pt idx="40">
                  <c:v>-0.55689999999999995</c:v>
                </c:pt>
                <c:pt idx="41">
                  <c:v>-0.35413333333333302</c:v>
                </c:pt>
                <c:pt idx="42">
                  <c:v>-0.29023333333333301</c:v>
                </c:pt>
                <c:pt idx="43">
                  <c:v>-0.248466666666667</c:v>
                </c:pt>
                <c:pt idx="44">
                  <c:v>-6.7566666666666705E-2</c:v>
                </c:pt>
                <c:pt idx="45">
                  <c:v>9.0300000000000005E-2</c:v>
                </c:pt>
                <c:pt idx="46">
                  <c:v>0.27406666666666701</c:v>
                </c:pt>
                <c:pt idx="47">
                  <c:v>0.114933333333333</c:v>
                </c:pt>
                <c:pt idx="48">
                  <c:v>3.1366666666666702E-2</c:v>
                </c:pt>
                <c:pt idx="49">
                  <c:v>0.176633333333333</c:v>
                </c:pt>
                <c:pt idx="50">
                  <c:v>0.49123333333333302</c:v>
                </c:pt>
                <c:pt idx="51">
                  <c:v>2.0749</c:v>
                </c:pt>
                <c:pt idx="52">
                  <c:v>2.0639666666666701</c:v>
                </c:pt>
                <c:pt idx="53">
                  <c:v>1.3435999999999999</c:v>
                </c:pt>
                <c:pt idx="54">
                  <c:v>0.94303333333333295</c:v>
                </c:pt>
                <c:pt idx="55">
                  <c:v>0.89263333333333295</c:v>
                </c:pt>
                <c:pt idx="56">
                  <c:v>0.65166666666666695</c:v>
                </c:pt>
                <c:pt idx="57">
                  <c:v>0.39246666666666702</c:v>
                </c:pt>
                <c:pt idx="58">
                  <c:v>0.40083333333333299</c:v>
                </c:pt>
                <c:pt idx="59">
                  <c:v>0.47199999999999998</c:v>
                </c:pt>
                <c:pt idx="60">
                  <c:v>0.33793333333333297</c:v>
                </c:pt>
                <c:pt idx="61">
                  <c:v>0.36836666666666701</c:v>
                </c:pt>
                <c:pt idx="62">
                  <c:v>0.26396666666666702</c:v>
                </c:pt>
                <c:pt idx="63">
                  <c:v>0.21249999999999999</c:v>
                </c:pt>
                <c:pt idx="64">
                  <c:v>0.26996666666666702</c:v>
                </c:pt>
                <c:pt idx="65">
                  <c:v>0.140366666666667</c:v>
                </c:pt>
                <c:pt idx="66">
                  <c:v>0.1043</c:v>
                </c:pt>
                <c:pt idx="67">
                  <c:v>0.123533333333333</c:v>
                </c:pt>
                <c:pt idx="68">
                  <c:v>-1.7666666666666699E-2</c:v>
                </c:pt>
                <c:pt idx="69">
                  <c:v>-1.3299999999999999E-2</c:v>
                </c:pt>
                <c:pt idx="70">
                  <c:v>-0.10073333333333299</c:v>
                </c:pt>
                <c:pt idx="71">
                  <c:v>-0.16623333333333301</c:v>
                </c:pt>
                <c:pt idx="72">
                  <c:v>-7.8233333333333294E-2</c:v>
                </c:pt>
                <c:pt idx="73">
                  <c:v>-0.18226666666666699</c:v>
                </c:pt>
                <c:pt idx="74">
                  <c:v>-0.10743333333333301</c:v>
                </c:pt>
                <c:pt idx="75">
                  <c:v>-0.213233333333333</c:v>
                </c:pt>
                <c:pt idx="76">
                  <c:v>-0.204633333333333</c:v>
                </c:pt>
                <c:pt idx="77">
                  <c:v>-0.22009999999999999</c:v>
                </c:pt>
                <c:pt idx="78">
                  <c:v>-0.178933333333333</c:v>
                </c:pt>
                <c:pt idx="79">
                  <c:v>-0.21</c:v>
                </c:pt>
                <c:pt idx="80">
                  <c:v>-0.21326666666666699</c:v>
                </c:pt>
                <c:pt idx="81">
                  <c:v>-0.175866666666667</c:v>
                </c:pt>
                <c:pt idx="82">
                  <c:v>-0.19070000000000001</c:v>
                </c:pt>
                <c:pt idx="83">
                  <c:v>-0.14380000000000001</c:v>
                </c:pt>
                <c:pt idx="84">
                  <c:v>-0.14000000000000001</c:v>
                </c:pt>
                <c:pt idx="85">
                  <c:v>-0.114633333333333</c:v>
                </c:pt>
                <c:pt idx="86">
                  <c:v>-0.23253333333333301</c:v>
                </c:pt>
                <c:pt idx="87">
                  <c:v>-0.1011</c:v>
                </c:pt>
                <c:pt idx="88">
                  <c:v>-0.21056666666666701</c:v>
                </c:pt>
                <c:pt idx="89">
                  <c:v>-0.2334</c:v>
                </c:pt>
                <c:pt idx="90">
                  <c:v>-0.1552</c:v>
                </c:pt>
                <c:pt idx="91">
                  <c:v>-0.20573333333333299</c:v>
                </c:pt>
                <c:pt idx="92">
                  <c:v>-0.20796666666666699</c:v>
                </c:pt>
                <c:pt idx="93">
                  <c:v>-0.1595</c:v>
                </c:pt>
                <c:pt idx="94">
                  <c:v>-0.16639999999999999</c:v>
                </c:pt>
                <c:pt idx="95">
                  <c:v>-0.14583333333333301</c:v>
                </c:pt>
                <c:pt idx="96">
                  <c:v>-0.20446666666666699</c:v>
                </c:pt>
                <c:pt idx="97">
                  <c:v>-0.15586666666666699</c:v>
                </c:pt>
              </c:numCache>
            </c:numRef>
          </c:val>
          <c:smooth val="1"/>
          <c:extLst>
            <c:ext xmlns:c16="http://schemas.microsoft.com/office/drawing/2014/chart" uri="{C3380CC4-5D6E-409C-BE32-E72D297353CC}">
              <c16:uniqueId val="{00000005-EB8D-44B6-9B7B-156EAA9D56C9}"/>
            </c:ext>
          </c:extLst>
        </c:ser>
        <c:dLbls>
          <c:showLegendKey val="0"/>
          <c:showVal val="0"/>
          <c:showCatName val="0"/>
          <c:showSerName val="0"/>
          <c:showPercent val="0"/>
          <c:showBubbleSize val="0"/>
        </c:dLbls>
        <c:smooth val="0"/>
        <c:axId val="1096634591"/>
        <c:axId val="1096635071"/>
      </c:lineChart>
      <c:catAx>
        <c:axId val="109663459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0" i="0" u="none" strike="noStrike" kern="1200" baseline="0">
                <a:solidFill>
                  <a:schemeClr val="tx1"/>
                </a:solidFill>
                <a:latin typeface="AndesExtra Light"/>
                <a:ea typeface="+mn-ea"/>
                <a:cs typeface="+mn-cs"/>
              </a:defRPr>
            </a:pPr>
            <a:endParaRPr lang="en-US"/>
          </a:p>
        </c:txPr>
        <c:crossAx val="1096635071"/>
        <c:crosses val="autoZero"/>
        <c:auto val="1"/>
        <c:lblAlgn val="ctr"/>
        <c:lblOffset val="100"/>
        <c:noMultiLvlLbl val="0"/>
      </c:catAx>
      <c:valAx>
        <c:axId val="1096635071"/>
        <c:scaling>
          <c:orientation val="minMax"/>
        </c:scaling>
        <c:delete val="0"/>
        <c:axPos val="l"/>
        <c:title>
          <c:tx>
            <c:rich>
              <a:bodyPr rot="-5400000" spcFirstLastPara="1" vertOverflow="ellipsis" vert="horz" wrap="square" anchor="ctr" anchorCtr="1"/>
              <a:lstStyle/>
              <a:p>
                <a:pPr>
                  <a:defRPr sz="1050" b="0" i="0" u="none" strike="noStrike" kern="1200" baseline="0">
                    <a:solidFill>
                      <a:schemeClr val="tx1"/>
                    </a:solidFill>
                    <a:latin typeface="AndesExtra Light"/>
                    <a:ea typeface="+mn-ea"/>
                    <a:cs typeface="+mn-cs"/>
                  </a:defRPr>
                </a:pPr>
                <a:r>
                  <a:rPr lang="en-US"/>
                  <a:t>Change (p.p.)</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solidFill>
                  <a:latin typeface="AndesExtra Ligh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AndesExtra Light"/>
                <a:ea typeface="+mn-ea"/>
                <a:cs typeface="+mn-cs"/>
              </a:defRPr>
            </a:pPr>
            <a:endParaRPr lang="en-US"/>
          </a:p>
        </c:txPr>
        <c:crossAx val="1096634591"/>
        <c:crosses val="autoZero"/>
        <c:crossBetween val="between"/>
      </c:valAx>
      <c:spPr>
        <a:noFill/>
        <a:ln>
          <a:noFill/>
        </a:ln>
        <a:effectLst/>
      </c:spPr>
    </c:plotArea>
    <c:legend>
      <c:legendPos val="tr"/>
      <c:overlay val="1"/>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ndesExtra Ligh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chemeClr val="tx1"/>
          </a:solidFill>
          <a:latin typeface="AndesExtra Light"/>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640605602773948"/>
          <c:y val="2.6526771902967195E-2"/>
          <c:w val="0.71892412357722291"/>
          <c:h val="0.78536651093704057"/>
        </c:manualLayout>
      </c:layout>
      <c:barChart>
        <c:barDir val="bar"/>
        <c:grouping val="clustered"/>
        <c:varyColors val="0"/>
        <c:ser>
          <c:idx val="1"/>
          <c:order val="0"/>
          <c:tx>
            <c:strRef>
              <c:f>'Figure B1. b)'!$C$1</c:f>
              <c:strCache>
                <c:ptCount val="1"/>
                <c:pt idx="0">
                  <c:v>January-December 2017</c:v>
                </c:pt>
              </c:strCache>
            </c:strRef>
          </c:tx>
          <c:spPr>
            <a:solidFill>
              <a:srgbClr val="002060"/>
            </a:solidFill>
            <a:ln>
              <a:noFill/>
            </a:ln>
            <a:effectLst/>
          </c:spPr>
          <c:invertIfNegative val="0"/>
          <c:dPt>
            <c:idx val="4"/>
            <c:invertIfNegative val="0"/>
            <c:bubble3D val="0"/>
            <c:spPr>
              <a:solidFill>
                <a:srgbClr val="002060">
                  <a:alpha val="50000"/>
                </a:srgbClr>
              </a:solidFill>
              <a:ln>
                <a:noFill/>
              </a:ln>
              <a:effectLst/>
            </c:spPr>
            <c:extLst>
              <c:ext xmlns:c16="http://schemas.microsoft.com/office/drawing/2014/chart" uri="{C3380CC4-5D6E-409C-BE32-E72D297353CC}">
                <c16:uniqueId val="{00000004-5E8B-46EC-8F95-573AB4BEC4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B1. b)'!$A$2:$A$8</c:f>
              <c:strCache>
                <c:ptCount val="7"/>
                <c:pt idx="0">
                  <c:v>South Asia</c:v>
                </c:pt>
                <c:pt idx="1">
                  <c:v>Middle East and North Africa</c:v>
                </c:pt>
                <c:pt idx="2">
                  <c:v>East Asia and Pacific</c:v>
                </c:pt>
                <c:pt idx="3">
                  <c:v>Sub-Saharan Africa</c:v>
                </c:pt>
                <c:pt idx="4">
                  <c:v>Latin America and the Caribbean</c:v>
                </c:pt>
                <c:pt idx="5">
                  <c:v>High income</c:v>
                </c:pt>
                <c:pt idx="6">
                  <c:v>Europe and Central Asia</c:v>
                </c:pt>
              </c:strCache>
            </c:strRef>
          </c:cat>
          <c:val>
            <c:numRef>
              <c:f>'Figure B1. b)'!$C$2:$C$8</c:f>
              <c:numCache>
                <c:formatCode>General</c:formatCode>
                <c:ptCount val="7"/>
                <c:pt idx="0">
                  <c:v>0.1</c:v>
                </c:pt>
                <c:pt idx="1">
                  <c:v>0.11</c:v>
                </c:pt>
                <c:pt idx="2">
                  <c:v>0.01</c:v>
                </c:pt>
                <c:pt idx="3">
                  <c:v>0.01</c:v>
                </c:pt>
                <c:pt idx="4">
                  <c:v>0.08</c:v>
                </c:pt>
                <c:pt idx="5">
                  <c:v>0.06</c:v>
                </c:pt>
                <c:pt idx="6">
                  <c:v>0.08</c:v>
                </c:pt>
              </c:numCache>
            </c:numRef>
          </c:val>
          <c:extLst>
            <c:ext xmlns:c16="http://schemas.microsoft.com/office/drawing/2014/chart" uri="{C3380CC4-5D6E-409C-BE32-E72D297353CC}">
              <c16:uniqueId val="{00000005-5E8B-46EC-8F95-573AB4BEC4A0}"/>
            </c:ext>
          </c:extLst>
        </c:ser>
        <c:ser>
          <c:idx val="0"/>
          <c:order val="1"/>
          <c:tx>
            <c:strRef>
              <c:f>'Figure B1. b)'!$B$1</c:f>
              <c:strCache>
                <c:ptCount val="1"/>
                <c:pt idx="0">
                  <c:v>March 2024-February 2025</c:v>
                </c:pt>
              </c:strCache>
            </c:strRef>
          </c:tx>
          <c:spPr>
            <a:solidFill>
              <a:schemeClr val="accent5">
                <a:lumMod val="75000"/>
              </a:schemeClr>
            </a:solidFill>
            <a:ln>
              <a:noFill/>
            </a:ln>
            <a:effectLst/>
          </c:spPr>
          <c:invertIfNegative val="0"/>
          <c:dPt>
            <c:idx val="4"/>
            <c:invertIfNegative val="0"/>
            <c:bubble3D val="0"/>
            <c:spPr>
              <a:solidFill>
                <a:schemeClr val="accent5">
                  <a:lumMod val="75000"/>
                  <a:alpha val="50000"/>
                </a:schemeClr>
              </a:solidFill>
              <a:ln>
                <a:noFill/>
              </a:ln>
              <a:effectLst/>
            </c:spPr>
            <c:extLst>
              <c:ext xmlns:c16="http://schemas.microsoft.com/office/drawing/2014/chart" uri="{C3380CC4-5D6E-409C-BE32-E72D297353CC}">
                <c16:uniqueId val="{00000001-5E8B-46EC-8F95-573AB4BEC4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B1. b)'!$A$2:$A$8</c:f>
              <c:strCache>
                <c:ptCount val="7"/>
                <c:pt idx="0">
                  <c:v>South Asia</c:v>
                </c:pt>
                <c:pt idx="1">
                  <c:v>Middle East and North Africa</c:v>
                </c:pt>
                <c:pt idx="2">
                  <c:v>East Asia and Pacific</c:v>
                </c:pt>
                <c:pt idx="3">
                  <c:v>Sub-Saharan Africa</c:v>
                </c:pt>
                <c:pt idx="4">
                  <c:v>Latin America and the Caribbean</c:v>
                </c:pt>
                <c:pt idx="5">
                  <c:v>High income</c:v>
                </c:pt>
                <c:pt idx="6">
                  <c:v>Europe and Central Asia</c:v>
                </c:pt>
              </c:strCache>
            </c:strRef>
          </c:cat>
          <c:val>
            <c:numRef>
              <c:f>'Figure B1. b)'!$B$2:$B$8</c:f>
              <c:numCache>
                <c:formatCode>0.00</c:formatCode>
                <c:ptCount val="7"/>
                <c:pt idx="0">
                  <c:v>-6.1016666666666698E-2</c:v>
                </c:pt>
                <c:pt idx="1">
                  <c:v>-9.0121666666666697E-2</c:v>
                </c:pt>
                <c:pt idx="2">
                  <c:v>-9.1511666666666699E-2</c:v>
                </c:pt>
                <c:pt idx="3">
                  <c:v>-0.106595833333333</c:v>
                </c:pt>
                <c:pt idx="4">
                  <c:v>-0.136405833333333</c:v>
                </c:pt>
                <c:pt idx="5">
                  <c:v>-0.16450435606060601</c:v>
                </c:pt>
                <c:pt idx="6">
                  <c:v>-0.17528333333333301</c:v>
                </c:pt>
              </c:numCache>
            </c:numRef>
          </c:val>
          <c:extLst>
            <c:ext xmlns:c16="http://schemas.microsoft.com/office/drawing/2014/chart" uri="{C3380CC4-5D6E-409C-BE32-E72D297353CC}">
              <c16:uniqueId val="{00000002-5E8B-46EC-8F95-573AB4BEC4A0}"/>
            </c:ext>
          </c:extLst>
        </c:ser>
        <c:dLbls>
          <c:showLegendKey val="0"/>
          <c:showVal val="0"/>
          <c:showCatName val="0"/>
          <c:showSerName val="0"/>
          <c:showPercent val="0"/>
          <c:showBubbleSize val="0"/>
        </c:dLbls>
        <c:gapWidth val="122"/>
        <c:axId val="906666959"/>
        <c:axId val="906665999"/>
      </c:barChart>
      <c:catAx>
        <c:axId val="906666959"/>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906665999"/>
        <c:crosses val="autoZero"/>
        <c:auto val="1"/>
        <c:lblAlgn val="ctr"/>
        <c:lblOffset val="100"/>
        <c:noMultiLvlLbl val="0"/>
      </c:catAx>
      <c:valAx>
        <c:axId val="9066659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Change (p.p.)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06666959"/>
        <c:crosses val="autoZero"/>
        <c:crossBetween val="between"/>
      </c:valAx>
      <c:spPr>
        <a:noFill/>
        <a:ln>
          <a:noFill/>
        </a:ln>
        <a:effectLst/>
      </c:spPr>
    </c:plotArea>
    <c:legend>
      <c:legendPos val="tr"/>
      <c:layout>
        <c:manualLayout>
          <c:xMode val="edge"/>
          <c:yMode val="edge"/>
          <c:x val="0.39303919159972533"/>
          <c:y val="0.89764969259960181"/>
          <c:w val="0.59342152375436008"/>
          <c:h val="9.293926709403795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r>
              <a:rPr lang="en-US">
                <a:solidFill>
                  <a:schemeClr val="accent5"/>
                </a:solidFill>
              </a:rPr>
              <a:t>LAC                                                                                                                                              Non-LAC</a:t>
            </a:r>
          </a:p>
        </c:rich>
      </c:tx>
      <c:layout>
        <c:manualLayout>
          <c:xMode val="edge"/>
          <c:yMode val="edge"/>
          <c:x val="0.20500834312186447"/>
          <c:y val="1.63235213920455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endParaRPr lang="en-US"/>
        </a:p>
      </c:txPr>
    </c:title>
    <c:autoTitleDeleted val="0"/>
    <c:plotArea>
      <c:layout>
        <c:manualLayout>
          <c:layoutTarget val="inner"/>
          <c:xMode val="edge"/>
          <c:yMode val="edge"/>
          <c:x val="4.8743864171437327E-2"/>
          <c:y val="6.0352859325264671E-2"/>
          <c:w val="0.93139681076650804"/>
          <c:h val="0.74340377006333558"/>
        </c:manualLayout>
      </c:layout>
      <c:barChart>
        <c:barDir val="col"/>
        <c:grouping val="clustered"/>
        <c:varyColors val="0"/>
        <c:ser>
          <c:idx val="0"/>
          <c:order val="0"/>
          <c:tx>
            <c:strRef>
              <c:f>'Figure 2'!$G$2</c:f>
              <c:strCache>
                <c:ptCount val="1"/>
                <c:pt idx="0">
                  <c:v>2016-2024</c:v>
                </c:pt>
              </c:strCache>
            </c:strRef>
          </c:tx>
          <c:spPr>
            <a:solidFill>
              <a:schemeClr val="accent5"/>
            </a:solidFill>
            <a:ln>
              <a:noFill/>
            </a:ln>
            <a:effectLst/>
          </c:spPr>
          <c:invertIfNegative val="0"/>
          <c:cat>
            <c:strRef>
              <c:f>'Figure 2'!$A$3:$A$36</c:f>
              <c:strCache>
                <c:ptCount val="34"/>
                <c:pt idx="0">
                  <c:v>Bolivia</c:v>
                </c:pt>
                <c:pt idx="1">
                  <c:v>Paraguay</c:v>
                </c:pt>
                <c:pt idx="2">
                  <c:v>Argentina</c:v>
                </c:pt>
                <c:pt idx="3">
                  <c:v>Mexico</c:v>
                </c:pt>
                <c:pt idx="4">
                  <c:v>El Salvador</c:v>
                </c:pt>
                <c:pt idx="5">
                  <c:v>Dominican Republic</c:v>
                </c:pt>
                <c:pt idx="6">
                  <c:v>Chile</c:v>
                </c:pt>
                <c:pt idx="7">
                  <c:v>Peru</c:v>
                </c:pt>
                <c:pt idx="8">
                  <c:v>LAC</c:v>
                </c:pt>
                <c:pt idx="9">
                  <c:v>Ecuador</c:v>
                </c:pt>
                <c:pt idx="10">
                  <c:v>Brazil</c:v>
                </c:pt>
                <c:pt idx="11">
                  <c:v>Costa Rica</c:v>
                </c:pt>
                <c:pt idx="12">
                  <c:v>Colombia</c:v>
                </c:pt>
                <c:pt idx="13">
                  <c:v>Uruguay</c:v>
                </c:pt>
                <c:pt idx="16">
                  <c:v>India</c:v>
                </c:pt>
                <c:pt idx="17">
                  <c:v>Gambia</c:v>
                </c:pt>
                <c:pt idx="18">
                  <c:v>Pakistan</c:v>
                </c:pt>
                <c:pt idx="19">
                  <c:v>Indonesia</c:v>
                </c:pt>
                <c:pt idx="20">
                  <c:v>Bangladesh</c:v>
                </c:pt>
                <c:pt idx="21">
                  <c:v>Philippines</c:v>
                </c:pt>
                <c:pt idx="22">
                  <c:v>Rwanda</c:v>
                </c:pt>
                <c:pt idx="23">
                  <c:v>Armenia</c:v>
                </c:pt>
                <c:pt idx="24">
                  <c:v>Zambia</c:v>
                </c:pt>
                <c:pt idx="25">
                  <c:v>Tunisia</c:v>
                </c:pt>
                <c:pt idx="26">
                  <c:v>Turkey</c:v>
                </c:pt>
                <c:pt idx="27">
                  <c:v>Sri Lanka</c:v>
                </c:pt>
                <c:pt idx="28">
                  <c:v>Mongolia</c:v>
                </c:pt>
                <c:pt idx="29">
                  <c:v>Thailand</c:v>
                </c:pt>
                <c:pt idx="30">
                  <c:v>Tanzania</c:v>
                </c:pt>
                <c:pt idx="31">
                  <c:v>South Africa</c:v>
                </c:pt>
                <c:pt idx="32">
                  <c:v>Ethiopia</c:v>
                </c:pt>
                <c:pt idx="33">
                  <c:v>Georgia</c:v>
                </c:pt>
              </c:strCache>
            </c:strRef>
          </c:cat>
          <c:val>
            <c:numRef>
              <c:f>'Figure 2'!$G$3:$G$36</c:f>
              <c:numCache>
                <c:formatCode>0.0</c:formatCode>
                <c:ptCount val="34"/>
                <c:pt idx="0">
                  <c:v>4.4051471451874944</c:v>
                </c:pt>
                <c:pt idx="1">
                  <c:v>3.829306065164984</c:v>
                </c:pt>
                <c:pt idx="2">
                  <c:v>2.0118826498133351</c:v>
                </c:pt>
                <c:pt idx="3">
                  <c:v>1.985970212942245</c:v>
                </c:pt>
                <c:pt idx="4">
                  <c:v>1.9674208942807909</c:v>
                </c:pt>
                <c:pt idx="5">
                  <c:v>1.8950976410886611</c:v>
                </c:pt>
                <c:pt idx="6">
                  <c:v>1.878838223718504</c:v>
                </c:pt>
                <c:pt idx="7">
                  <c:v>1.762199585201585</c:v>
                </c:pt>
                <c:pt idx="8">
                  <c:v>1.7539518562092129</c:v>
                </c:pt>
                <c:pt idx="9">
                  <c:v>1.483026992434366</c:v>
                </c:pt>
                <c:pt idx="10">
                  <c:v>1.4649288785234751</c:v>
                </c:pt>
                <c:pt idx="11">
                  <c:v>1.2410585324118319</c:v>
                </c:pt>
                <c:pt idx="12">
                  <c:v>1.0772520769521949</c:v>
                </c:pt>
                <c:pt idx="13">
                  <c:v>-0.50742017966055042</c:v>
                </c:pt>
                <c:pt idx="16">
                  <c:v>6.9643027032725513</c:v>
                </c:pt>
                <c:pt idx="17">
                  <c:v>4.8557692879324321</c:v>
                </c:pt>
                <c:pt idx="18">
                  <c:v>4.2609874473578113</c:v>
                </c:pt>
                <c:pt idx="19">
                  <c:v>3.3034152042532128</c:v>
                </c:pt>
                <c:pt idx="20">
                  <c:v>2.3876797833405572</c:v>
                </c:pt>
                <c:pt idx="21">
                  <c:v>2.3284729474689851</c:v>
                </c:pt>
                <c:pt idx="22">
                  <c:v>2.2419793960648078</c:v>
                </c:pt>
                <c:pt idx="23">
                  <c:v>2.1829829772342708</c:v>
                </c:pt>
                <c:pt idx="24">
                  <c:v>1.5829680542461591</c:v>
                </c:pt>
                <c:pt idx="25">
                  <c:v>1.1857217136924449</c:v>
                </c:pt>
                <c:pt idx="26">
                  <c:v>1.0602471125077839</c:v>
                </c:pt>
                <c:pt idx="27">
                  <c:v>0.59246547801903304</c:v>
                </c:pt>
                <c:pt idx="28">
                  <c:v>0.46805989683622601</c:v>
                </c:pt>
                <c:pt idx="29">
                  <c:v>0.24936101327723839</c:v>
                </c:pt>
                <c:pt idx="30">
                  <c:v>-0.87578025264672954</c:v>
                </c:pt>
                <c:pt idx="31">
                  <c:v>-1.135873331924719</c:v>
                </c:pt>
                <c:pt idx="32">
                  <c:v>-1.6123568551023479</c:v>
                </c:pt>
                <c:pt idx="33">
                  <c:v>-5.5363498366631569</c:v>
                </c:pt>
              </c:numCache>
            </c:numRef>
          </c:val>
          <c:extLst>
            <c:ext xmlns:c16="http://schemas.microsoft.com/office/drawing/2014/chart" uri="{C3380CC4-5D6E-409C-BE32-E72D297353CC}">
              <c16:uniqueId val="{00000000-6F5F-464E-BD6C-5BDC4CCB2E34}"/>
            </c:ext>
          </c:extLst>
        </c:ser>
        <c:dLbls>
          <c:showLegendKey val="0"/>
          <c:showVal val="0"/>
          <c:showCatName val="0"/>
          <c:showSerName val="0"/>
          <c:showPercent val="0"/>
          <c:showBubbleSize val="0"/>
        </c:dLbls>
        <c:gapWidth val="219"/>
        <c:axId val="2049403408"/>
        <c:axId val="2049400528"/>
      </c:barChart>
      <c:lineChart>
        <c:grouping val="standard"/>
        <c:varyColors val="0"/>
        <c:ser>
          <c:idx val="1"/>
          <c:order val="1"/>
          <c:tx>
            <c:strRef>
              <c:f>'Figure 2'!$F$2</c:f>
              <c:strCache>
                <c:ptCount val="1"/>
                <c:pt idx="0">
                  <c:v>2019-2024</c:v>
                </c:pt>
              </c:strCache>
            </c:strRef>
          </c:tx>
          <c:spPr>
            <a:ln w="28575" cap="rnd">
              <a:noFill/>
              <a:round/>
            </a:ln>
            <a:effectLst/>
          </c:spPr>
          <c:marker>
            <c:symbol val="diamond"/>
            <c:size val="6"/>
            <c:spPr>
              <a:solidFill>
                <a:schemeClr val="bg2">
                  <a:lumMod val="75000"/>
                </a:schemeClr>
              </a:solidFill>
              <a:ln w="9525">
                <a:solidFill>
                  <a:schemeClr val="bg2">
                    <a:lumMod val="90000"/>
                  </a:schemeClr>
                </a:solidFill>
              </a:ln>
              <a:effectLst/>
            </c:spPr>
          </c:marker>
          <c:val>
            <c:numRef>
              <c:f>'Figure 2'!$F$3:$F$17</c:f>
              <c:numCache>
                <c:formatCode>0.0</c:formatCode>
                <c:ptCount val="15"/>
                <c:pt idx="0">
                  <c:v>3.889418157931201</c:v>
                </c:pt>
                <c:pt idx="1">
                  <c:v>1.165411798944116</c:v>
                </c:pt>
                <c:pt idx="2">
                  <c:v>1.9558647962762741</c:v>
                </c:pt>
                <c:pt idx="3">
                  <c:v>1.6932507335020159</c:v>
                </c:pt>
                <c:pt idx="4">
                  <c:v>2.3981832112378809</c:v>
                </c:pt>
                <c:pt idx="5">
                  <c:v>1.444097438856407</c:v>
                </c:pt>
                <c:pt idx="6">
                  <c:v>2.004778287866404</c:v>
                </c:pt>
                <c:pt idx="7">
                  <c:v>2.1845801516947589</c:v>
                </c:pt>
                <c:pt idx="8">
                  <c:v>1.715928219560414</c:v>
                </c:pt>
                <c:pt idx="9">
                  <c:v>1.483026992434366</c:v>
                </c:pt>
                <c:pt idx="10">
                  <c:v>1.58248992310257</c:v>
                </c:pt>
                <c:pt idx="11">
                  <c:v>-0.2367269640464853</c:v>
                </c:pt>
                <c:pt idx="12">
                  <c:v>1.980536002769262</c:v>
                </c:pt>
                <c:pt idx="13">
                  <c:v>-0.46439765433254898</c:v>
                </c:pt>
              </c:numCache>
            </c:numRef>
          </c:val>
          <c:smooth val="0"/>
          <c:extLst>
            <c:ext xmlns:c16="http://schemas.microsoft.com/office/drawing/2014/chart" uri="{C3380CC4-5D6E-409C-BE32-E72D297353CC}">
              <c16:uniqueId val="{00000001-6F5F-464E-BD6C-5BDC4CCB2E34}"/>
            </c:ext>
          </c:extLst>
        </c:ser>
        <c:ser>
          <c:idx val="2"/>
          <c:order val="2"/>
          <c:tx>
            <c:strRef>
              <c:f>'Figure 2'!$E$2</c:f>
              <c:strCache>
                <c:ptCount val="1"/>
                <c:pt idx="0">
                  <c:v>2016-2019</c:v>
                </c:pt>
              </c:strCache>
            </c:strRef>
          </c:tx>
          <c:spPr>
            <a:ln w="28575" cap="rnd">
              <a:noFill/>
              <a:round/>
            </a:ln>
            <a:effectLst/>
          </c:spPr>
          <c:marker>
            <c:symbol val="circle"/>
            <c:size val="5"/>
            <c:spPr>
              <a:solidFill>
                <a:srgbClr val="002060"/>
              </a:solidFill>
              <a:ln w="9525">
                <a:noFill/>
              </a:ln>
              <a:effectLst/>
            </c:spPr>
          </c:marker>
          <c:val>
            <c:numRef>
              <c:f>'Figure 2'!$E$3:$E$17</c:f>
              <c:numCache>
                <c:formatCode>0.0</c:formatCode>
                <c:ptCount val="15"/>
                <c:pt idx="0">
                  <c:v>5.2703910364156892</c:v>
                </c:pt>
                <c:pt idx="1">
                  <c:v>6.4932003313858511</c:v>
                </c:pt>
                <c:pt idx="2">
                  <c:v>2.10531414299806</c:v>
                </c:pt>
                <c:pt idx="3">
                  <c:v>2.4757096092939301</c:v>
                </c:pt>
                <c:pt idx="4">
                  <c:v>1.395888648541588</c:v>
                </c:pt>
                <c:pt idx="5">
                  <c:v>3.0313897807728418</c:v>
                </c:pt>
                <c:pt idx="6">
                  <c:v>1.669283559176415</c:v>
                </c:pt>
                <c:pt idx="7">
                  <c:v>1.0621082150396699</c:v>
                </c:pt>
                <c:pt idx="8">
                  <c:v>1.8173561733950021</c:v>
                </c:pt>
                <c:pt idx="10">
                  <c:v>1.2692960663904349</c:v>
                </c:pt>
                <c:pt idx="11">
                  <c:v>3.7528394467567061</c:v>
                </c:pt>
                <c:pt idx="12">
                  <c:v>0.17396815113512881</c:v>
                </c:pt>
                <c:pt idx="13">
                  <c:v>-0.55044270498855186</c:v>
                </c:pt>
              </c:numCache>
            </c:numRef>
          </c:val>
          <c:smooth val="0"/>
          <c:extLst>
            <c:ext xmlns:c16="http://schemas.microsoft.com/office/drawing/2014/chart" uri="{C3380CC4-5D6E-409C-BE32-E72D297353CC}">
              <c16:uniqueId val="{00000002-6F5F-464E-BD6C-5BDC4CCB2E34}"/>
            </c:ext>
          </c:extLst>
        </c:ser>
        <c:dLbls>
          <c:showLegendKey val="0"/>
          <c:showVal val="0"/>
          <c:showCatName val="0"/>
          <c:showSerName val="0"/>
          <c:showPercent val="0"/>
          <c:showBubbleSize val="0"/>
        </c:dLbls>
        <c:marker val="1"/>
        <c:smooth val="0"/>
        <c:axId val="2049403408"/>
        <c:axId val="2049400528"/>
      </c:lineChart>
      <c:catAx>
        <c:axId val="204940340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accent5"/>
                </a:solidFill>
                <a:latin typeface="+mn-lt"/>
                <a:ea typeface="+mn-ea"/>
                <a:cs typeface="+mn-cs"/>
              </a:defRPr>
            </a:pPr>
            <a:endParaRPr lang="en-US"/>
          </a:p>
        </c:txPr>
        <c:crossAx val="2049400528"/>
        <c:crosses val="autoZero"/>
        <c:auto val="1"/>
        <c:lblAlgn val="ctr"/>
        <c:lblOffset val="100"/>
        <c:noMultiLvlLbl val="0"/>
      </c:catAx>
      <c:valAx>
        <c:axId val="20494005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Annualized growth (percent)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49403408"/>
        <c:crosses val="autoZero"/>
        <c:crossBetween val="between"/>
      </c:val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154557956383835"/>
          <c:y val="0.25083333333333335"/>
          <c:w val="0.84789880408475182"/>
          <c:h val="0.61956765820939053"/>
        </c:manualLayout>
      </c:layout>
      <c:barChart>
        <c:barDir val="col"/>
        <c:grouping val="clustered"/>
        <c:varyColors val="0"/>
        <c:ser>
          <c:idx val="0"/>
          <c:order val="0"/>
          <c:tx>
            <c:strRef>
              <c:f>'Figure 3'!$B$3:$E$3</c:f>
              <c:strCache>
                <c:ptCount val="4"/>
                <c:pt idx="0">
                  <c:v>Working Age Population</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ndes ExtraLight" panose="02000000000000000000" pitchFamily="50" charset="0"/>
                    <a:ea typeface="Calibri Light" panose="020F0302020204030204" pitchFamily="34" charset="0"/>
                    <a:cs typeface="Calibri Light" panose="020F030202020403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3'!$B$4:$E$4</c:f>
              <c:strCache>
                <c:ptCount val="4"/>
                <c:pt idx="0">
                  <c:v>Total</c:v>
                </c:pt>
                <c:pt idx="1">
                  <c:v>Low</c:v>
                </c:pt>
                <c:pt idx="2">
                  <c:v>Middle</c:v>
                </c:pt>
                <c:pt idx="3">
                  <c:v>High</c:v>
                </c:pt>
              </c:strCache>
            </c:strRef>
          </c:cat>
          <c:val>
            <c:numRef>
              <c:f>'Figure 3'!$B$5:$E$5</c:f>
              <c:numCache>
                <c:formatCode>0.0</c:formatCode>
                <c:ptCount val="4"/>
                <c:pt idx="0">
                  <c:v>1.1452772245746701</c:v>
                </c:pt>
                <c:pt idx="1">
                  <c:v>-0.98441522156765826</c:v>
                </c:pt>
                <c:pt idx="2">
                  <c:v>2.7939545163813584</c:v>
                </c:pt>
                <c:pt idx="3">
                  <c:v>5.0926580058541893</c:v>
                </c:pt>
              </c:numCache>
            </c:numRef>
          </c:val>
          <c:extLst>
            <c:ext xmlns:c16="http://schemas.microsoft.com/office/drawing/2014/chart" uri="{C3380CC4-5D6E-409C-BE32-E72D297353CC}">
              <c16:uniqueId val="{00000000-959B-499F-835B-F55D017C587F}"/>
            </c:ext>
          </c:extLst>
        </c:ser>
        <c:dLbls>
          <c:showLegendKey val="0"/>
          <c:showVal val="0"/>
          <c:showCatName val="0"/>
          <c:showSerName val="0"/>
          <c:showPercent val="0"/>
          <c:showBubbleSize val="0"/>
        </c:dLbls>
        <c:gapWidth val="219"/>
        <c:axId val="1942393631"/>
        <c:axId val="1942398911"/>
      </c:barChart>
      <c:lineChart>
        <c:grouping val="standard"/>
        <c:varyColors val="0"/>
        <c:ser>
          <c:idx val="1"/>
          <c:order val="1"/>
          <c:tx>
            <c:strRef>
              <c:f>'Figure 3'!$H$3:$K$3</c:f>
              <c:strCache>
                <c:ptCount val="4"/>
                <c:pt idx="0">
                  <c:v>People Employed</c:v>
                </c:pt>
              </c:strCache>
            </c:strRef>
          </c:tx>
          <c:spPr>
            <a:ln w="28575" cap="rnd">
              <a:noFill/>
              <a:round/>
            </a:ln>
            <a:effectLst/>
          </c:spPr>
          <c:marker>
            <c:symbol val="diamond"/>
            <c:size val="5"/>
            <c:spPr>
              <a:solidFill>
                <a:srgbClr val="002060"/>
              </a:solidFill>
              <a:ln w="22225">
                <a:solidFill>
                  <a:srgbClr val="002060"/>
                </a:solidFill>
              </a:ln>
              <a:effectLst/>
            </c:spPr>
          </c:marker>
          <c:dLbls>
            <c:dLbl>
              <c:idx val="1"/>
              <c:layout>
                <c:manualLayout>
                  <c:x val="-3.8729979219384023E-2"/>
                  <c:y val="2.68843748843390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59B-499F-835B-F55D017C587F}"/>
                </c:ext>
              </c:extLst>
            </c:dLbl>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Andes ExtraLight" panose="02000000000000000000" pitchFamily="50" charset="0"/>
                    <a:ea typeface="Calibri Light" panose="020F0302020204030204" pitchFamily="34" charset="0"/>
                    <a:cs typeface="Calibri Light" panose="020F030202020403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3'!$B$4:$E$4</c:f>
              <c:strCache>
                <c:ptCount val="4"/>
                <c:pt idx="0">
                  <c:v>Total</c:v>
                </c:pt>
                <c:pt idx="1">
                  <c:v>Low</c:v>
                </c:pt>
                <c:pt idx="2">
                  <c:v>Middle</c:v>
                </c:pt>
                <c:pt idx="3">
                  <c:v>High</c:v>
                </c:pt>
              </c:strCache>
            </c:strRef>
          </c:cat>
          <c:val>
            <c:numRef>
              <c:f>'Figure 3'!$H$5:$K$5</c:f>
              <c:numCache>
                <c:formatCode>0.0</c:formatCode>
                <c:ptCount val="4"/>
                <c:pt idx="0">
                  <c:v>1.6312037008220148</c:v>
                </c:pt>
                <c:pt idx="1">
                  <c:v>-1.3304002307758855</c:v>
                </c:pt>
                <c:pt idx="2">
                  <c:v>3.2047036814965679</c:v>
                </c:pt>
                <c:pt idx="3">
                  <c:v>5.2470427799025332</c:v>
                </c:pt>
              </c:numCache>
            </c:numRef>
          </c:val>
          <c:smooth val="0"/>
          <c:extLst>
            <c:ext xmlns:c16="http://schemas.microsoft.com/office/drawing/2014/chart" uri="{C3380CC4-5D6E-409C-BE32-E72D297353CC}">
              <c16:uniqueId val="{00000002-959B-499F-835B-F55D017C587F}"/>
            </c:ext>
          </c:extLst>
        </c:ser>
        <c:dLbls>
          <c:showLegendKey val="0"/>
          <c:showVal val="0"/>
          <c:showCatName val="0"/>
          <c:showSerName val="0"/>
          <c:showPercent val="0"/>
          <c:showBubbleSize val="0"/>
        </c:dLbls>
        <c:marker val="1"/>
        <c:smooth val="0"/>
        <c:axId val="1942393631"/>
        <c:axId val="1942398911"/>
      </c:lineChart>
      <c:catAx>
        <c:axId val="1942393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Andes ExtraLight" panose="02000000000000000000" pitchFamily="50" charset="0"/>
                    <a:ea typeface="Calibri Light" panose="020F0302020204030204" pitchFamily="34" charset="0"/>
                    <a:cs typeface="Calibri Light" panose="020F0302020204030204" pitchFamily="34" charset="0"/>
                  </a:defRPr>
                </a:pPr>
                <a:r>
                  <a:rPr lang="en-US"/>
                  <a:t>Educational Attainment</a:t>
                </a:r>
              </a:p>
            </c:rich>
          </c:tx>
          <c:layout>
            <c:manualLayout>
              <c:xMode val="edge"/>
              <c:yMode val="edge"/>
              <c:x val="0.52269968946879841"/>
              <c:y val="0.9416706117370946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Andes ExtraLight" panose="02000000000000000000" pitchFamily="50" charset="0"/>
                  <a:ea typeface="Calibri Light" panose="020F0302020204030204" pitchFamily="34" charset="0"/>
                  <a:cs typeface="Calibri Light" panose="020F0302020204030204" pitchFamily="34" charset="0"/>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ndes ExtraLight" panose="02000000000000000000" pitchFamily="50" charset="0"/>
                <a:ea typeface="Calibri Light" panose="020F0302020204030204" pitchFamily="34" charset="0"/>
                <a:cs typeface="Calibri Light" panose="020F0302020204030204" pitchFamily="34" charset="0"/>
              </a:defRPr>
            </a:pPr>
            <a:endParaRPr lang="en-US"/>
          </a:p>
        </c:txPr>
        <c:crossAx val="1942398911"/>
        <c:crosses val="autoZero"/>
        <c:auto val="1"/>
        <c:lblAlgn val="ctr"/>
        <c:lblOffset val="100"/>
        <c:noMultiLvlLbl val="0"/>
      </c:catAx>
      <c:valAx>
        <c:axId val="1942398911"/>
        <c:scaling>
          <c:orientation val="minMax"/>
          <c:max val="5.5"/>
          <c:min val="-2"/>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Andes ExtraLight" panose="02000000000000000000" pitchFamily="50" charset="0"/>
                    <a:ea typeface="Calibri Light" panose="020F0302020204030204" pitchFamily="34" charset="0"/>
                    <a:cs typeface="Calibri Light" panose="020F0302020204030204" pitchFamily="34" charset="0"/>
                  </a:defRPr>
                </a:pPr>
                <a:r>
                  <a:rPr lang="en-US"/>
                  <a:t>Annualized growth (percent)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ndes ExtraLight" panose="02000000000000000000" pitchFamily="50" charset="0"/>
                  <a:ea typeface="Calibri Light" panose="020F0302020204030204" pitchFamily="34" charset="0"/>
                  <a:cs typeface="Calibri Light" panose="020F0302020204030204" pitchFamily="34" charset="0"/>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ndes ExtraLight" panose="02000000000000000000" pitchFamily="50" charset="0"/>
                <a:ea typeface="Calibri Light" panose="020F0302020204030204" pitchFamily="34" charset="0"/>
                <a:cs typeface="Calibri Light" panose="020F0302020204030204" pitchFamily="34" charset="0"/>
              </a:defRPr>
            </a:pPr>
            <a:endParaRPr lang="en-US"/>
          </a:p>
        </c:txPr>
        <c:crossAx val="1942393631"/>
        <c:crosses val="autoZero"/>
        <c:crossBetween val="between"/>
      </c:valAx>
      <c:spPr>
        <a:noFill/>
        <a:ln>
          <a:noFill/>
        </a:ln>
        <a:effectLst/>
      </c:spPr>
    </c:plotArea>
    <c:legend>
      <c:legendPos val="r"/>
      <c:layout>
        <c:manualLayout>
          <c:xMode val="edge"/>
          <c:yMode val="edge"/>
          <c:x val="0.55204862270032085"/>
          <c:y val="4.1364818931835939E-2"/>
          <c:w val="0.39538295004587048"/>
          <c:h val="0.108434466449238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ndes ExtraLight" panose="02000000000000000000" pitchFamily="50" charset="0"/>
              <a:ea typeface="Calibri Light" panose="020F0302020204030204" pitchFamily="34" charset="0"/>
              <a:cs typeface="Calibri Light" panose="020F030202020403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solidFill>
            <a:schemeClr val="tx1"/>
          </a:solidFill>
          <a:latin typeface="Andes ExtraLight" panose="02000000000000000000" pitchFamily="50" charset="0"/>
          <a:ea typeface="Calibri Light" panose="020F0302020204030204"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[2025-04-24_Jobs Brief_ENG.xlsx]Figure 4!PivotTable26</c:name>
    <c:fmtId val="11"/>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5">
              <a:lumMod val="40000"/>
              <a:lumOff val="60000"/>
            </a:schemeClr>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5">
              <a:lumMod val="50000"/>
            </a:schemeClr>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FFCCFF"/>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5">
              <a:lumMod val="40000"/>
              <a:lumOff val="60000"/>
            </a:schemeClr>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5">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5">
              <a:lumMod val="40000"/>
              <a:lumOff val="60000"/>
            </a:schemeClr>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5">
              <a:lumMod val="60000"/>
              <a:lumOff val="40000"/>
            </a:schemeClr>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5">
              <a:lumMod val="40000"/>
              <a:lumOff val="60000"/>
            </a:schemeClr>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5">
              <a:lumMod val="60000"/>
              <a:lumOff val="40000"/>
            </a:schemeClr>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5">
              <a:lumMod val="40000"/>
              <a:lumOff val="60000"/>
            </a:schemeClr>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5">
              <a:lumMod val="40000"/>
              <a:lumOff val="60000"/>
            </a:schemeClr>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17"/>
        <c:spPr>
          <a:solidFill>
            <a:srgbClr val="FFCCCC"/>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5">
              <a:lumMod val="60000"/>
              <a:lumOff val="40000"/>
            </a:schemeClr>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5">
              <a:lumMod val="75000"/>
            </a:schemeClr>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5">
              <a:lumMod val="50000"/>
            </a:schemeClr>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5">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5">
              <a:lumMod val="60000"/>
              <a:lumOff val="40000"/>
            </a:schemeClr>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5">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5">
              <a:lumMod val="60000"/>
              <a:lumOff val="40000"/>
            </a:schemeClr>
          </a:solidFill>
          <a:ln>
            <a:noFill/>
          </a:ln>
          <a:effectLst/>
        </c:spPr>
        <c:marker>
          <c:symbol val="none"/>
        </c:marker>
        <c:dLbl>
          <c:idx val="0"/>
          <c:delete val="1"/>
          <c:extLst>
            <c:ext xmlns:c15="http://schemas.microsoft.com/office/drawing/2012/chart" uri="{CE6537A1-D6FC-4f65-9D91-7224C49458BB}"/>
          </c:extLst>
        </c:dLbl>
      </c:pivotFmt>
      <c:pivotFmt>
        <c:idx val="26"/>
        <c:spPr>
          <a:solidFill>
            <a:schemeClr val="accent5">
              <a:lumMod val="60000"/>
              <a:lumOff val="40000"/>
            </a:schemeClr>
          </a:solidFill>
          <a:ln>
            <a:noFill/>
          </a:ln>
          <a:effectLst/>
        </c:spPr>
        <c:marker>
          <c:symbol val="none"/>
        </c:marker>
        <c:dLbl>
          <c:idx val="0"/>
          <c:delete val="1"/>
          <c:extLst>
            <c:ext xmlns:c15="http://schemas.microsoft.com/office/drawing/2012/chart" uri="{CE6537A1-D6FC-4f65-9D91-7224C49458BB}"/>
          </c:extLst>
        </c:dLbl>
      </c:pivotFmt>
      <c:pivotFmt>
        <c:idx val="27"/>
        <c:spPr>
          <a:solidFill>
            <a:schemeClr val="accent5">
              <a:lumMod val="20000"/>
              <a:lumOff val="80000"/>
            </a:schemeClr>
          </a:solidFill>
          <a:ln>
            <a:noFill/>
          </a:ln>
          <a:effectLst/>
        </c:spPr>
        <c:marker>
          <c:symbol val="none"/>
        </c:marker>
        <c:dLbl>
          <c:idx val="0"/>
          <c:delete val="1"/>
          <c:extLst>
            <c:ext xmlns:c15="http://schemas.microsoft.com/office/drawing/2012/chart" uri="{CE6537A1-D6FC-4f65-9D91-7224C49458BB}"/>
          </c:extLst>
        </c:dLbl>
      </c:pivotFmt>
      <c:pivotFmt>
        <c:idx val="28"/>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29"/>
        <c:spPr>
          <a:solidFill>
            <a:schemeClr val="accent5">
              <a:lumMod val="20000"/>
              <a:lumOff val="80000"/>
            </a:schemeClr>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30"/>
        <c:spPr>
          <a:solidFill>
            <a:schemeClr val="accent5">
              <a:lumMod val="40000"/>
              <a:lumOff val="60000"/>
            </a:schemeClr>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31"/>
        <c:spPr>
          <a:solidFill>
            <a:schemeClr val="accent5">
              <a:lumMod val="60000"/>
              <a:lumOff val="40000"/>
            </a:schemeClr>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32"/>
        <c:spPr>
          <a:solidFill>
            <a:schemeClr val="accent5"/>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33"/>
        <c:spPr>
          <a:solidFill>
            <a:schemeClr val="accent5">
              <a:lumMod val="50000"/>
            </a:schemeClr>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34"/>
        <c:spPr>
          <a:solidFill>
            <a:srgbClr val="FFCCFF"/>
          </a:solidFill>
          <a:ln>
            <a:noFill/>
          </a:ln>
          <a:effectLst/>
        </c:spPr>
        <c:marker>
          <c:symbol val="none"/>
        </c:marker>
      </c:pivotFmt>
      <c:pivotFmt>
        <c:idx val="35"/>
        <c:spPr>
          <a:solidFill>
            <a:schemeClr val="accent5">
              <a:lumMod val="40000"/>
              <a:lumOff val="60000"/>
            </a:schemeClr>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36"/>
        <c:spPr>
          <a:solidFill>
            <a:schemeClr val="accent5">
              <a:lumMod val="20000"/>
              <a:lumOff val="80000"/>
            </a:schemeClr>
          </a:solidFill>
          <a:ln>
            <a:noFill/>
          </a:ln>
          <a:effectLst/>
        </c:spPr>
        <c:marker>
          <c:symbol val="none"/>
        </c:marker>
      </c:pivotFmt>
      <c:pivotFmt>
        <c:idx val="37"/>
        <c:spPr>
          <a:solidFill>
            <a:schemeClr val="accent3">
              <a:lumMod val="60000"/>
            </a:schemeClr>
          </a:solidFill>
          <a:ln>
            <a:noFill/>
          </a:ln>
          <a:effectLst/>
        </c:spPr>
        <c:marker>
          <c:symbol val="none"/>
        </c:marker>
      </c:pivotFmt>
      <c:pivotFmt>
        <c:idx val="38"/>
        <c:spPr>
          <a:solidFill>
            <a:schemeClr val="accent5">
              <a:lumMod val="40000"/>
              <a:lumOff val="60000"/>
            </a:schemeClr>
          </a:solidFill>
          <a:ln>
            <a:noFill/>
          </a:ln>
          <a:effectLst/>
        </c:spPr>
        <c:marker>
          <c:symbol val="none"/>
        </c:marker>
      </c:pivotFmt>
      <c:pivotFmt>
        <c:idx val="39"/>
        <c:spPr>
          <a:solidFill>
            <a:schemeClr val="accent5">
              <a:lumMod val="60000"/>
              <a:lumOff val="40000"/>
            </a:schemeClr>
          </a:solidFill>
          <a:ln>
            <a:noFill/>
          </a:ln>
          <a:effectLst/>
        </c:spPr>
        <c:marker>
          <c:symbol val="none"/>
        </c:marker>
      </c:pivotFmt>
      <c:pivotFmt>
        <c:idx val="40"/>
        <c:spPr>
          <a:solidFill>
            <a:schemeClr val="accent5">
              <a:lumMod val="40000"/>
              <a:lumOff val="60000"/>
            </a:schemeClr>
          </a:solidFill>
          <a:ln>
            <a:noFill/>
          </a:ln>
          <a:effectLst/>
        </c:spPr>
        <c:marker>
          <c:symbol val="none"/>
        </c:marker>
        <c:dLbl>
          <c:idx val="0"/>
          <c:spPr>
            <a:noFill/>
            <a:ln>
              <a:noFill/>
            </a:ln>
            <a:effectLst/>
          </c:spPr>
          <c:txPr>
            <a:bodyPr wrap="square" lIns="38100" tIns="19050" rIns="38100" bIns="19050" anchor="ctr">
              <a:spAutoFit/>
            </a:bodyPr>
            <a:lstStyle/>
            <a:p>
              <a:pPr>
                <a:defRPr sz="8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41"/>
        <c:spPr>
          <a:solidFill>
            <a:schemeClr val="accent5">
              <a:lumMod val="60000"/>
              <a:lumOff val="40000"/>
            </a:schemeClr>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42"/>
        <c:spPr>
          <a:solidFill>
            <a:schemeClr val="accent5"/>
          </a:solidFill>
          <a:ln>
            <a:noFill/>
          </a:ln>
          <a:effectLst/>
        </c:spPr>
        <c:marker>
          <c:symbol val="none"/>
        </c:marker>
      </c:pivotFmt>
      <c:pivotFmt>
        <c:idx val="43"/>
        <c:spPr>
          <a:solidFill>
            <a:schemeClr val="accent5">
              <a:lumMod val="40000"/>
              <a:lumOff val="60000"/>
            </a:schemeClr>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44"/>
        <c:spPr>
          <a:solidFill>
            <a:schemeClr val="accent5">
              <a:lumMod val="40000"/>
              <a:lumOff val="60000"/>
            </a:schemeClr>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45"/>
        <c:spPr>
          <a:solidFill>
            <a:schemeClr val="accent5"/>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46"/>
        <c:spPr>
          <a:solidFill>
            <a:srgbClr val="FFCCCC"/>
          </a:solidFill>
          <a:ln>
            <a:noFill/>
          </a:ln>
          <a:effectLst/>
        </c:spPr>
        <c:marker>
          <c:symbol val="none"/>
        </c:marker>
      </c:pivotFmt>
      <c:pivotFmt>
        <c:idx val="47"/>
        <c:spPr>
          <a:solidFill>
            <a:schemeClr val="accent5">
              <a:lumMod val="60000"/>
              <a:lumOff val="40000"/>
            </a:schemeClr>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48"/>
        <c:spPr>
          <a:solidFill>
            <a:schemeClr val="accent5">
              <a:lumMod val="75000"/>
            </a:schemeClr>
          </a:solidFill>
          <a:ln>
            <a:noFill/>
          </a:ln>
          <a:effectLst/>
        </c:spPr>
        <c:marker>
          <c:symbol val="none"/>
        </c:marker>
      </c:pivotFmt>
      <c:pivotFmt>
        <c:idx val="49"/>
        <c:spPr>
          <a:solidFill>
            <a:schemeClr val="accent5">
              <a:lumMod val="50000"/>
            </a:schemeClr>
          </a:solidFill>
          <a:ln>
            <a:noFill/>
          </a:ln>
          <a:effectLst/>
        </c:spPr>
        <c:marker>
          <c:symbol val="none"/>
        </c:marker>
      </c:pivotFmt>
      <c:pivotFmt>
        <c:idx val="50"/>
        <c:spPr>
          <a:solidFill>
            <a:schemeClr val="accent5">
              <a:lumMod val="20000"/>
              <a:lumOff val="80000"/>
            </a:schemeClr>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accent5">
                      <a:lumMod val="75000"/>
                    </a:schemeClr>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51"/>
        <c:spPr>
          <a:solidFill>
            <a:schemeClr val="accent5">
              <a:lumMod val="60000"/>
              <a:lumOff val="40000"/>
            </a:schemeClr>
          </a:solidFill>
          <a:ln>
            <a:noFill/>
          </a:ln>
          <a:effectLst/>
        </c:spPr>
        <c:marker>
          <c:symbol val="none"/>
        </c:marker>
        <c:dLbl>
          <c:idx val="0"/>
          <c:spPr>
            <a:noFill/>
            <a:ln>
              <a:noFill/>
            </a:ln>
            <a:effectLst/>
          </c:spPr>
          <c:txPr>
            <a:bodyPr wrap="square" lIns="38100" tIns="19050" rIns="38100" bIns="19050" anchor="ctr">
              <a:spAutoFit/>
            </a:bodyPr>
            <a:lstStyle/>
            <a:p>
              <a:pPr>
                <a:defRPr sz="8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52"/>
        <c:spPr>
          <a:solidFill>
            <a:schemeClr val="accent5"/>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53"/>
        <c:spPr>
          <a:solidFill>
            <a:schemeClr val="accent5">
              <a:lumMod val="20000"/>
              <a:lumOff val="80000"/>
            </a:schemeClr>
          </a:solidFill>
          <a:ln>
            <a:noFill/>
          </a:ln>
          <a:effectLst/>
        </c:spPr>
        <c:marker>
          <c:symbol val="none"/>
        </c:marker>
        <c:dLbl>
          <c:idx val="0"/>
          <c:spPr>
            <a:noFill/>
            <a:ln>
              <a:noFill/>
            </a:ln>
            <a:effectLst/>
          </c:spPr>
          <c:txPr>
            <a:bodyPr wrap="square" lIns="38100" tIns="19050" rIns="38100" bIns="19050" anchor="ctr">
              <a:spAutoFit/>
            </a:bodyPr>
            <a:lstStyle/>
            <a:p>
              <a:pPr>
                <a:defRPr sz="800">
                  <a:solidFill>
                    <a:schemeClr val="accent5">
                      <a:lumMod val="50000"/>
                    </a:schemeClr>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54"/>
        <c:spPr>
          <a:solidFill>
            <a:schemeClr val="accent5">
              <a:lumMod val="60000"/>
              <a:lumOff val="40000"/>
            </a:schemeClr>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55"/>
        <c:spPr>
          <a:solidFill>
            <a:schemeClr val="accent5">
              <a:lumMod val="60000"/>
              <a:lumOff val="40000"/>
            </a:schemeClr>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56"/>
        <c:spPr>
          <a:solidFill>
            <a:schemeClr val="accent5"/>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57"/>
      </c:pivotFmt>
      <c:pivotFmt>
        <c:idx val="58"/>
        <c:spPr>
          <a:solidFill>
            <a:schemeClr val="accent5">
              <a:lumMod val="60000"/>
              <a:lumOff val="40000"/>
            </a:schemeClr>
          </a:solidFill>
          <a:ln>
            <a:noFill/>
          </a:ln>
          <a:effectLst/>
        </c:spPr>
        <c:dLbl>
          <c:idx val="0"/>
          <c:tx>
            <c:rich>
              <a:bodyPr wrap="square" lIns="38100" tIns="19050" rIns="38100" bIns="19050" anchor="ctr">
                <a:spAutoFit/>
              </a:bodyPr>
              <a:lstStyle/>
              <a:p>
                <a:pPr>
                  <a:defRPr>
                    <a:solidFill>
                      <a:schemeClr val="bg1"/>
                    </a:solidFill>
                  </a:defRPr>
                </a:pPr>
                <a:fld id="{B2BF1614-CF3E-476D-AFBA-BA83C1F8EAD1}" type="CELLRANGE">
                  <a:rPr lang="en-US">
                    <a:solidFill>
                      <a:schemeClr val="bg1"/>
                    </a:solidFill>
                  </a:rPr>
                  <a:pPr>
                    <a:defRPr>
                      <a:solidFill>
                        <a:schemeClr val="bg1"/>
                      </a:solidFill>
                    </a:defRPr>
                  </a:pPr>
                  <a:t>[CELLRANGE]</a:t>
                </a:fld>
                <a:endParaRPr lang="en-US"/>
              </a:p>
            </c:rich>
          </c:tx>
          <c:spPr>
            <a:noFill/>
            <a:ln>
              <a:noFill/>
            </a:ln>
            <a:effectLst/>
          </c:spPr>
          <c:dLblPos val="ctr"/>
          <c:showLegendKey val="0"/>
          <c:showVal val="0"/>
          <c:showCatName val="0"/>
          <c:showSerName val="1"/>
          <c:showPercent val="0"/>
          <c:showBubbleSize val="0"/>
          <c:extLst>
            <c:ext xmlns:c15="http://schemas.microsoft.com/office/drawing/2012/chart" uri="{CE6537A1-D6FC-4f65-9D91-7224C49458BB}">
              <c15:dlblFieldTable/>
              <c15:showDataLabelsRange val="0"/>
            </c:ext>
          </c:extLst>
        </c:dLbl>
      </c:pivotFmt>
      <c:pivotFmt>
        <c:idx val="59"/>
        <c:spPr>
          <a:solidFill>
            <a:schemeClr val="accent5">
              <a:lumMod val="60000"/>
              <a:lumOff val="40000"/>
            </a:schemeClr>
          </a:solidFill>
          <a:ln>
            <a:noFill/>
          </a:ln>
          <a:effectLst/>
        </c:spPr>
        <c:dLbl>
          <c:idx val="0"/>
          <c:tx>
            <c:rich>
              <a:bodyPr wrap="square" lIns="38100" tIns="19050" rIns="38100" bIns="19050" anchor="ctr">
                <a:spAutoFit/>
              </a:bodyPr>
              <a:lstStyle/>
              <a:p>
                <a:pPr>
                  <a:defRPr>
                    <a:solidFill>
                      <a:schemeClr val="bg1"/>
                    </a:solidFill>
                  </a:defRPr>
                </a:pPr>
                <a:endParaRPr lang="en-US">
                  <a:solidFill>
                    <a:schemeClr val="bg1"/>
                  </a:solidFill>
                </a:endParaRPr>
              </a:p>
            </c:rich>
          </c:tx>
          <c:spPr>
            <a:noFill/>
            <a:ln>
              <a:noFill/>
            </a:ln>
            <a:effectLst/>
          </c:spPr>
          <c:dLblPos val="ctr"/>
          <c:showLegendKey val="0"/>
          <c:showVal val="0"/>
          <c:showCatName val="0"/>
          <c:showSerName val="1"/>
          <c:showPercent val="0"/>
          <c:showBubbleSize val="0"/>
          <c:extLst>
            <c:ext xmlns:c15="http://schemas.microsoft.com/office/drawing/2012/chart" uri="{CE6537A1-D6FC-4f65-9D91-7224C49458BB}">
              <c15:showDataLabelsRange val="1"/>
            </c:ext>
          </c:extLst>
        </c:dLbl>
      </c:pivotFmt>
      <c:pivotFmt>
        <c:idx val="60"/>
        <c:spPr>
          <a:solidFill>
            <a:schemeClr val="accent5">
              <a:lumMod val="60000"/>
              <a:lumOff val="40000"/>
            </a:schemeClr>
          </a:solidFill>
          <a:ln>
            <a:noFill/>
          </a:ln>
          <a:effectLst/>
        </c:spPr>
        <c:dLbl>
          <c:idx val="0"/>
          <c:tx>
            <c:rich>
              <a:bodyPr wrap="square" lIns="38100" tIns="19050" rIns="38100" bIns="19050" anchor="ctr">
                <a:spAutoFit/>
              </a:bodyPr>
              <a:lstStyle/>
              <a:p>
                <a:pPr>
                  <a:defRPr>
                    <a:solidFill>
                      <a:schemeClr val="bg1"/>
                    </a:solidFill>
                  </a:defRPr>
                </a:pPr>
                <a:endParaRPr lang="en-US">
                  <a:solidFill>
                    <a:schemeClr val="bg1"/>
                  </a:solidFill>
                </a:endParaRPr>
              </a:p>
            </c:rich>
          </c:tx>
          <c:spPr>
            <a:noFill/>
            <a:ln>
              <a:noFill/>
            </a:ln>
            <a:effectLst/>
          </c:spPr>
          <c:dLblPos val="ctr"/>
          <c:showLegendKey val="0"/>
          <c:showVal val="0"/>
          <c:showCatName val="0"/>
          <c:showSerName val="1"/>
          <c:showPercent val="0"/>
          <c:showBubbleSize val="0"/>
          <c:extLst>
            <c:ext xmlns:c15="http://schemas.microsoft.com/office/drawing/2012/chart" uri="{CE6537A1-D6FC-4f65-9D91-7224C49458BB}">
              <c15:showDataLabelsRange val="1"/>
            </c:ext>
          </c:extLst>
        </c:dLbl>
      </c:pivotFmt>
      <c:pivotFmt>
        <c:idx val="61"/>
        <c:spPr>
          <a:solidFill>
            <a:schemeClr val="accent5">
              <a:lumMod val="60000"/>
              <a:lumOff val="40000"/>
            </a:schemeClr>
          </a:solidFill>
          <a:ln>
            <a:noFill/>
          </a:ln>
          <a:effectLst/>
        </c:spPr>
        <c:dLbl>
          <c:idx val="0"/>
          <c:tx>
            <c:rich>
              <a:bodyPr wrap="square" lIns="38100" tIns="19050" rIns="38100" bIns="19050" anchor="ctr">
                <a:spAutoFit/>
              </a:bodyPr>
              <a:lstStyle/>
              <a:p>
                <a:pPr>
                  <a:defRPr>
                    <a:solidFill>
                      <a:schemeClr val="bg1"/>
                    </a:solidFill>
                  </a:defRPr>
                </a:pPr>
                <a:endParaRPr lang="en-US">
                  <a:solidFill>
                    <a:schemeClr val="bg1"/>
                  </a:solidFill>
                </a:endParaRPr>
              </a:p>
            </c:rich>
          </c:tx>
          <c:spPr>
            <a:noFill/>
            <a:ln>
              <a:noFill/>
            </a:ln>
            <a:effectLst/>
          </c:spPr>
          <c:dLblPos val="ctr"/>
          <c:showLegendKey val="0"/>
          <c:showVal val="0"/>
          <c:showCatName val="0"/>
          <c:showSerName val="1"/>
          <c:showPercent val="0"/>
          <c:showBubbleSize val="0"/>
          <c:extLst>
            <c:ext xmlns:c15="http://schemas.microsoft.com/office/drawing/2012/chart" uri="{CE6537A1-D6FC-4f65-9D91-7224C49458BB}">
              <c15:showDataLabelsRange val="1"/>
            </c:ext>
          </c:extLst>
        </c:dLbl>
      </c:pivotFmt>
      <c:pivotFmt>
        <c:idx val="62"/>
        <c:spPr>
          <a:solidFill>
            <a:schemeClr val="accent5">
              <a:lumMod val="60000"/>
              <a:lumOff val="40000"/>
            </a:schemeClr>
          </a:solidFill>
          <a:ln>
            <a:noFill/>
          </a:ln>
          <a:effectLst/>
        </c:spPr>
        <c:dLbl>
          <c:idx val="0"/>
          <c:tx>
            <c:rich>
              <a:bodyPr wrap="square" lIns="38100" tIns="19050" rIns="38100" bIns="19050" anchor="ctr">
                <a:spAutoFit/>
              </a:bodyPr>
              <a:lstStyle/>
              <a:p>
                <a:pPr>
                  <a:defRPr>
                    <a:solidFill>
                      <a:schemeClr val="bg1"/>
                    </a:solidFill>
                  </a:defRPr>
                </a:pPr>
                <a:endParaRPr lang="en-US">
                  <a:solidFill>
                    <a:schemeClr val="bg1"/>
                  </a:solidFill>
                </a:endParaRPr>
              </a:p>
            </c:rich>
          </c:tx>
          <c:spPr>
            <a:noFill/>
            <a:ln>
              <a:noFill/>
            </a:ln>
            <a:effectLst/>
          </c:spPr>
          <c:dLblPos val="ctr"/>
          <c:showLegendKey val="0"/>
          <c:showVal val="0"/>
          <c:showCatName val="0"/>
          <c:showSerName val="1"/>
          <c:showPercent val="0"/>
          <c:showBubbleSize val="0"/>
          <c:extLst>
            <c:ext xmlns:c15="http://schemas.microsoft.com/office/drawing/2012/chart" uri="{CE6537A1-D6FC-4f65-9D91-7224C49458BB}">
              <c15:showDataLabelsRange val="1"/>
            </c:ext>
          </c:extLst>
        </c:dLbl>
      </c:pivotFmt>
      <c:pivotFmt>
        <c:idx val="63"/>
        <c:spPr>
          <a:solidFill>
            <a:schemeClr val="accent5">
              <a:lumMod val="60000"/>
              <a:lumOff val="40000"/>
            </a:schemeClr>
          </a:solidFill>
          <a:ln>
            <a:noFill/>
          </a:ln>
          <a:effectLst/>
        </c:spPr>
        <c:dLbl>
          <c:idx val="0"/>
          <c:tx>
            <c:rich>
              <a:bodyPr wrap="square" lIns="38100" tIns="19050" rIns="38100" bIns="19050" anchor="ctr">
                <a:spAutoFit/>
              </a:bodyPr>
              <a:lstStyle/>
              <a:p>
                <a:pPr>
                  <a:defRPr>
                    <a:solidFill>
                      <a:schemeClr val="bg1"/>
                    </a:solidFill>
                  </a:defRPr>
                </a:pPr>
                <a:endParaRPr lang="en-US">
                  <a:solidFill>
                    <a:schemeClr val="bg1"/>
                  </a:solidFill>
                </a:endParaRPr>
              </a:p>
            </c:rich>
          </c:tx>
          <c:spPr>
            <a:noFill/>
            <a:ln>
              <a:noFill/>
            </a:ln>
            <a:effectLst/>
          </c:spPr>
          <c:dLblPos val="ctr"/>
          <c:showLegendKey val="0"/>
          <c:showVal val="0"/>
          <c:showCatName val="0"/>
          <c:showSerName val="1"/>
          <c:showPercent val="0"/>
          <c:showBubbleSize val="0"/>
          <c:extLst>
            <c:ext xmlns:c15="http://schemas.microsoft.com/office/drawing/2012/chart" uri="{CE6537A1-D6FC-4f65-9D91-7224C49458BB}">
              <c15:showDataLabelsRange val="1"/>
            </c:ext>
          </c:extLst>
        </c:dLbl>
      </c:pivotFmt>
      <c:pivotFmt>
        <c:idx val="64"/>
        <c:spPr>
          <a:solidFill>
            <a:schemeClr val="accent5">
              <a:lumMod val="60000"/>
              <a:lumOff val="40000"/>
            </a:schemeClr>
          </a:solidFill>
          <a:ln>
            <a:noFill/>
          </a:ln>
          <a:effectLst/>
        </c:spPr>
        <c:dLbl>
          <c:idx val="0"/>
          <c:tx>
            <c:rich>
              <a:bodyPr wrap="square" lIns="38100" tIns="19050" rIns="38100" bIns="19050" anchor="ctr">
                <a:spAutoFit/>
              </a:bodyPr>
              <a:lstStyle/>
              <a:p>
                <a:pPr>
                  <a:defRPr>
                    <a:solidFill>
                      <a:schemeClr val="bg1"/>
                    </a:solidFill>
                  </a:defRPr>
                </a:pPr>
                <a:endParaRPr lang="en-US">
                  <a:solidFill>
                    <a:schemeClr val="bg1"/>
                  </a:solidFill>
                </a:endParaRPr>
              </a:p>
            </c:rich>
          </c:tx>
          <c:spPr>
            <a:noFill/>
            <a:ln>
              <a:noFill/>
            </a:ln>
            <a:effectLst/>
          </c:spPr>
          <c:dLblPos val="ctr"/>
          <c:showLegendKey val="0"/>
          <c:showVal val="0"/>
          <c:showCatName val="0"/>
          <c:showSerName val="1"/>
          <c:showPercent val="0"/>
          <c:showBubbleSize val="0"/>
          <c:extLst>
            <c:ext xmlns:c15="http://schemas.microsoft.com/office/drawing/2012/chart" uri="{CE6537A1-D6FC-4f65-9D91-7224C49458BB}">
              <c15:showDataLabelsRange val="1"/>
            </c:ext>
          </c:extLst>
        </c:dLbl>
      </c:pivotFmt>
      <c:pivotFmt>
        <c:idx val="65"/>
        <c:dLbl>
          <c:idx val="0"/>
          <c:tx>
            <c:rich>
              <a:bodyPr wrap="square" lIns="38100" tIns="19050" rIns="38100" bIns="19050" anchor="ctr">
                <a:spAutoFit/>
              </a:bodyPr>
              <a:lstStyle/>
              <a:p>
                <a:pPr>
                  <a:defRPr sz="800">
                    <a:solidFill>
                      <a:schemeClr val="accent5">
                        <a:lumMod val="50000"/>
                      </a:schemeClr>
                    </a:solidFill>
                  </a:defRPr>
                </a:pPr>
                <a:fld id="{F498E864-A95E-4253-B0B2-885B5FA6E2B3}" type="SERIESNAME">
                  <a:rPr lang="en-US">
                    <a:solidFill>
                      <a:schemeClr val="accent5">
                        <a:lumMod val="50000"/>
                      </a:schemeClr>
                    </a:solidFill>
                  </a:rPr>
                  <a:pPr>
                    <a:defRPr sz="800">
                      <a:solidFill>
                        <a:schemeClr val="accent5">
                          <a:lumMod val="50000"/>
                        </a:schemeClr>
                      </a:solidFill>
                    </a:defRPr>
                  </a:pPr>
                  <a:t>[SERIES NAME]</a:t>
                </a:fld>
                <a:endParaRPr lang="en-US"/>
              </a:p>
            </c:rich>
          </c:tx>
          <c:spPr>
            <a:noFill/>
            <a:ln>
              <a:noFill/>
            </a:ln>
            <a:effectLst/>
          </c:spPr>
          <c:dLblPos val="ctr"/>
          <c:showLegendKey val="0"/>
          <c:showVal val="0"/>
          <c:showCatName val="0"/>
          <c:showSerName val="1"/>
          <c:showPercent val="0"/>
          <c:showBubbleSize val="0"/>
          <c:extLst>
            <c:ext xmlns:c15="http://schemas.microsoft.com/office/drawing/2012/chart" uri="{CE6537A1-D6FC-4f65-9D91-7224C49458BB}">
              <c15:dlblFieldTable/>
              <c15:showDataLabelsRange val="0"/>
            </c:ext>
          </c:extLst>
        </c:dLbl>
      </c:pivotFmt>
      <c:pivotFmt>
        <c:idx val="66"/>
        <c:spPr>
          <a:solidFill>
            <a:schemeClr val="accent5">
              <a:lumMod val="60000"/>
              <a:lumOff val="40000"/>
            </a:schemeClr>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67"/>
        <c:spPr>
          <a:solidFill>
            <a:schemeClr val="accent5">
              <a:lumMod val="50000"/>
            </a:schemeClr>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68"/>
        <c:spPr>
          <a:solidFill>
            <a:schemeClr val="accent5">
              <a:lumMod val="40000"/>
              <a:lumOff val="60000"/>
            </a:schemeClr>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69"/>
        <c:dLbl>
          <c:idx val="0"/>
          <c:tx>
            <c:rich>
              <a:bodyPr/>
              <a:lstStyle/>
              <a:p>
                <a:endParaRPr lang="en-US"/>
              </a:p>
            </c:rich>
          </c:tx>
          <c:dLblPos val="ctr"/>
          <c:showLegendKey val="0"/>
          <c:showVal val="1"/>
          <c:showCatName val="0"/>
          <c:showSerName val="1"/>
          <c:showPercent val="0"/>
          <c:showBubbleSize val="0"/>
          <c:extLst>
            <c:ext xmlns:c15="http://schemas.microsoft.com/office/drawing/2012/chart" uri="{CE6537A1-D6FC-4f65-9D91-7224C49458BB}">
              <c15:xForSave val="1"/>
              <c15:showDataLabelsRange val="1"/>
            </c:ext>
          </c:extLst>
        </c:dLbl>
      </c:pivotFmt>
      <c:pivotFmt>
        <c:idx val="70"/>
      </c:pivotFmt>
      <c:pivotFmt>
        <c:idx val="71"/>
      </c:pivotFmt>
      <c:pivotFmt>
        <c:idx val="72"/>
      </c:pivotFmt>
      <c:pivotFmt>
        <c:idx val="73"/>
      </c:pivotFmt>
      <c:pivotFmt>
        <c:idx val="74"/>
      </c:pivotFmt>
      <c:pivotFmt>
        <c:idx val="75"/>
      </c:pivotFmt>
      <c:pivotFmt>
        <c:idx val="76"/>
        <c:spPr>
          <a:solidFill>
            <a:schemeClr val="accent5"/>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77"/>
        <c:spPr>
          <a:solidFill>
            <a:schemeClr val="accent5">
              <a:lumMod val="75000"/>
            </a:schemeClr>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78"/>
        <c:spPr>
          <a:solidFill>
            <a:srgbClr val="FFCCFF"/>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5">
              <a:lumMod val="40000"/>
              <a:lumOff val="60000"/>
            </a:schemeClr>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80"/>
        <c:spPr>
          <a:solidFill>
            <a:schemeClr val="accent5">
              <a:lumMod val="20000"/>
              <a:lumOff val="80000"/>
            </a:schemeClr>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3">
              <a:lumMod val="60000"/>
            </a:schemeClr>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5">
              <a:lumMod val="40000"/>
              <a:lumOff val="60000"/>
            </a:schemeClr>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5">
              <a:lumMod val="60000"/>
              <a:lumOff val="40000"/>
            </a:schemeClr>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5">
              <a:lumMod val="75000"/>
            </a:schemeClr>
          </a:solidFill>
          <a:ln>
            <a:noFill/>
          </a:ln>
          <a:effectLst/>
        </c:spPr>
        <c:marker>
          <c:symbol val="none"/>
        </c:marker>
        <c:dLbl>
          <c:idx val="0"/>
          <c:spPr>
            <a:solidFill>
              <a:schemeClr val="accent5">
                <a:lumMod val="75000"/>
              </a:schemeClr>
            </a:solidFill>
            <a:ln>
              <a:noFill/>
            </a:ln>
            <a:effectLst/>
          </c:spPr>
          <c:txPr>
            <a:bodyPr wrap="square" lIns="38100" tIns="19050" rIns="38100" bIns="19050" anchor="ctr">
              <a:spAutoFit/>
            </a:bodyPr>
            <a:lstStyle/>
            <a:p>
              <a:pPr>
                <a:defRPr sz="8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85"/>
        <c:spPr>
          <a:solidFill>
            <a:schemeClr val="accent5"/>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86"/>
        <c:spPr>
          <a:solidFill>
            <a:schemeClr val="accent5"/>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5">
              <a:lumMod val="40000"/>
              <a:lumOff val="60000"/>
            </a:schemeClr>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88"/>
        <c:spPr>
          <a:solidFill>
            <a:schemeClr val="accent5">
              <a:lumMod val="60000"/>
              <a:lumOff val="40000"/>
            </a:schemeClr>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89"/>
        <c:spPr>
          <a:solidFill>
            <a:schemeClr val="accent5">
              <a:lumMod val="60000"/>
              <a:lumOff val="40000"/>
            </a:schemeClr>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90"/>
        <c:spPr>
          <a:solidFill>
            <a:srgbClr val="FFCCCC"/>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5"/>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92"/>
        <c:spPr>
          <a:solidFill>
            <a:schemeClr val="accent5">
              <a:lumMod val="75000"/>
            </a:schemeClr>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5">
              <a:lumMod val="50000"/>
            </a:schemeClr>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5"/>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95"/>
        <c:spPr>
          <a:solidFill>
            <a:schemeClr val="accent5"/>
          </a:solidFill>
          <a:ln>
            <a:noFill/>
          </a:ln>
          <a:effectLst/>
        </c:spPr>
        <c:marker>
          <c:symbol val="none"/>
        </c:marker>
        <c:dLbl>
          <c:idx val="0"/>
          <c:spPr>
            <a:noFill/>
            <a:ln>
              <a:noFill/>
            </a:ln>
            <a:effectLst/>
          </c:spPr>
          <c:txPr>
            <a:bodyPr wrap="square" lIns="38100" tIns="19050" rIns="38100" bIns="19050" anchor="ctr">
              <a:spAutoFit/>
            </a:bodyPr>
            <a:lstStyle/>
            <a:p>
              <a:pPr>
                <a:defRPr sz="8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96"/>
        <c:spPr>
          <a:solidFill>
            <a:schemeClr val="accent5">
              <a:lumMod val="60000"/>
              <a:lumOff val="40000"/>
            </a:schemeClr>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97"/>
        <c:spPr>
          <a:solidFill>
            <a:schemeClr val="accent5">
              <a:lumMod val="20000"/>
              <a:lumOff val="80000"/>
            </a:schemeClr>
          </a:solidFill>
          <a:ln>
            <a:noFill/>
          </a:ln>
          <a:effectLst/>
        </c:spPr>
        <c:marker>
          <c:symbol val="none"/>
        </c:marker>
        <c:dLbl>
          <c:idx val="0"/>
          <c:spPr>
            <a:noFill/>
            <a:ln>
              <a:noFill/>
            </a:ln>
            <a:effectLst/>
          </c:spPr>
          <c:txPr>
            <a:bodyPr wrap="square" lIns="38100" tIns="19050" rIns="38100" bIns="19050" anchor="ctr">
              <a:spAutoFit/>
            </a:bodyPr>
            <a:lstStyle/>
            <a:p>
              <a:pPr>
                <a:defRPr sz="900">
                  <a:solidFill>
                    <a:schemeClr val="accent5"/>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98"/>
        <c:dLbl>
          <c:idx val="0"/>
          <c:tx>
            <c:rich>
              <a:bodyPr wrap="square" lIns="38100" tIns="19050" rIns="38100" bIns="19050" anchor="ctr">
                <a:spAutoFit/>
              </a:bodyPr>
              <a:lstStyle/>
              <a:p>
                <a:pPr>
                  <a:defRPr sz="900">
                    <a:solidFill>
                      <a:schemeClr val="accent5"/>
                    </a:solidFill>
                  </a:defRPr>
                </a:pPr>
                <a:endParaRPr lang="en-US"/>
              </a:p>
            </c:rich>
          </c:tx>
          <c:spPr>
            <a:noFill/>
            <a:ln>
              <a:noFill/>
            </a:ln>
            <a:effectLst/>
          </c:spPr>
          <c:dLblPos val="inEnd"/>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99"/>
        <c:spPr>
          <a:solidFill>
            <a:schemeClr val="accent5">
              <a:lumMod val="60000"/>
              <a:lumOff val="40000"/>
            </a:schemeClr>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00"/>
        <c:spPr>
          <a:solidFill>
            <a:schemeClr val="accent5">
              <a:lumMod val="40000"/>
              <a:lumOff val="60000"/>
            </a:schemeClr>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01"/>
        <c:spPr>
          <a:solidFill>
            <a:schemeClr val="accent5">
              <a:lumMod val="60000"/>
              <a:lumOff val="40000"/>
            </a:schemeClr>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02"/>
        <c:marker>
          <c:symbol val="none"/>
        </c:marker>
        <c:dLbl>
          <c:idx val="0"/>
          <c:delete val="1"/>
          <c:extLst>
            <c:ext xmlns:c15="http://schemas.microsoft.com/office/drawing/2012/chart" uri="{CE6537A1-D6FC-4f65-9D91-7224C49458BB}"/>
          </c:extLst>
        </c:dLbl>
      </c:pivotFmt>
      <c:pivotFmt>
        <c:idx val="103"/>
        <c:marker>
          <c:symbol val="none"/>
        </c:marker>
        <c:dLbl>
          <c:idx val="0"/>
          <c:delete val="1"/>
          <c:extLst>
            <c:ext xmlns:c15="http://schemas.microsoft.com/office/drawing/2012/chart" uri="{CE6537A1-D6FC-4f65-9D91-7224C49458BB}"/>
          </c:extLst>
        </c:dLbl>
      </c:pivotFmt>
      <c:pivotFmt>
        <c:idx val="104"/>
        <c:marker>
          <c:symbol val="none"/>
        </c:marker>
        <c:dLbl>
          <c:idx val="0"/>
          <c:delete val="1"/>
          <c:extLst>
            <c:ext xmlns:c15="http://schemas.microsoft.com/office/drawing/2012/chart" uri="{CE6537A1-D6FC-4f65-9D91-7224C49458BB}"/>
          </c:extLst>
        </c:dLbl>
      </c:pivotFmt>
      <c:pivotFmt>
        <c:idx val="105"/>
        <c:marker>
          <c:symbol val="none"/>
        </c:marker>
        <c:dLbl>
          <c:idx val="0"/>
          <c:delete val="1"/>
          <c:extLst>
            <c:ext xmlns:c15="http://schemas.microsoft.com/office/drawing/2012/chart" uri="{CE6537A1-D6FC-4f65-9D91-7224C49458BB}"/>
          </c:extLst>
        </c:dLbl>
      </c:pivotFmt>
      <c:pivotFmt>
        <c:idx val="106"/>
        <c:marker>
          <c:symbol val="none"/>
        </c:marker>
        <c:dLbl>
          <c:idx val="0"/>
          <c:delete val="1"/>
          <c:extLst>
            <c:ext xmlns:c15="http://schemas.microsoft.com/office/drawing/2012/chart" uri="{CE6537A1-D6FC-4f65-9D91-7224C49458BB}"/>
          </c:extLst>
        </c:dLbl>
      </c:pivotFmt>
      <c:pivotFmt>
        <c:idx val="107"/>
        <c:marker>
          <c:symbol val="none"/>
        </c:marker>
        <c:dLbl>
          <c:idx val="0"/>
          <c:delete val="1"/>
          <c:extLst>
            <c:ext xmlns:c15="http://schemas.microsoft.com/office/drawing/2012/chart" uri="{CE6537A1-D6FC-4f65-9D91-7224C49458BB}"/>
          </c:extLst>
        </c:dLbl>
      </c:pivotFmt>
      <c:pivotFmt>
        <c:idx val="108"/>
        <c:marker>
          <c:symbol val="none"/>
        </c:marker>
        <c:dLbl>
          <c:idx val="0"/>
          <c:delete val="1"/>
          <c:extLst>
            <c:ext xmlns:c15="http://schemas.microsoft.com/office/drawing/2012/chart" uri="{CE6537A1-D6FC-4f65-9D91-7224C49458BB}"/>
          </c:extLst>
        </c:dLbl>
      </c:pivotFmt>
      <c:pivotFmt>
        <c:idx val="109"/>
      </c:pivotFmt>
      <c:pivotFmt>
        <c:idx val="110"/>
      </c:pivotFmt>
      <c:pivotFmt>
        <c:idx val="111"/>
      </c:pivotFmt>
      <c:pivotFmt>
        <c:idx val="112"/>
      </c:pivotFmt>
      <c:pivotFmt>
        <c:idx val="113"/>
      </c:pivotFmt>
      <c:pivotFmt>
        <c:idx val="114"/>
      </c:pivotFmt>
      <c:pivotFmt>
        <c:idx val="115"/>
      </c:pivotFmt>
      <c:pivotFmt>
        <c:idx val="116"/>
        <c:dLbl>
          <c:idx val="0"/>
          <c:layout>
            <c:manualLayout>
              <c:x val="-9.6327122661061788E-4"/>
              <c:y val="5.698859689587151E-3"/>
            </c:manualLayout>
          </c:layout>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17"/>
        <c:dLbl>
          <c:idx val="0"/>
          <c:layout>
            <c:manualLayout>
              <c:x val="-4.8121200556509834E-3"/>
              <c:y val="-1.8824910544618004E-2"/>
            </c:manualLayout>
          </c:layout>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dLbl>
          <c:idx val="0"/>
          <c:layout>
            <c:manualLayout>
              <c:x val="4.715877654537811E-2"/>
              <c:y val="-3.2002347925850605E-2"/>
            </c:manualLayout>
          </c:layout>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dLbl>
          <c:idx val="0"/>
          <c:layout>
            <c:manualLayout>
              <c:x val="4.9083624567638588E-2"/>
              <c:y val="2.2589892653541603E-2"/>
            </c:manualLayout>
          </c:layout>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dLbl>
          <c:idx val="0"/>
          <c:layout>
            <c:manualLayout>
              <c:x val="2.887272033390364E-3"/>
              <c:y val="-7.5299642178472013E-3"/>
            </c:manualLayout>
          </c:layout>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dLbl>
          <c:idx val="0"/>
          <c:layout>
            <c:manualLayout>
              <c:x val="4.9083624567638588E-2"/>
              <c:y val="1.8824910544618003E-3"/>
            </c:manualLayout>
          </c:layout>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dLbl>
          <c:idx val="0"/>
          <c:layout>
            <c:manualLayout>
              <c:x val="5.1970896601028958E-2"/>
              <c:y val="1.8824910544618003E-3"/>
            </c:manualLayout>
          </c:layout>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3"/>
        <c:dLbl>
          <c:idx val="0"/>
          <c:layout>
            <c:manualLayout>
              <c:x val="5.2933320612159267E-2"/>
              <c:y val="5.6474731633854008E-3"/>
            </c:manualLayout>
          </c:layout>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4"/>
        <c:dLbl>
          <c:idx val="0"/>
          <c:layout>
            <c:manualLayout>
              <c:x val="4.6196352534247948E-2"/>
              <c:y val="-9.4124552723090366E-3"/>
            </c:manualLayout>
          </c:layout>
          <c:spPr>
            <a:noFill/>
            <a:ln>
              <a:noFill/>
            </a:ln>
            <a:effectLst/>
          </c:spPr>
          <c:txPr>
            <a:bodyPr wrap="square" lIns="38100" tIns="19050" rIns="38100" bIns="19050" anchor="ctr">
              <a:spAutoFit/>
            </a:bodyPr>
            <a:lstStyle/>
            <a:p>
              <a:pPr>
                <a:defRPr>
                  <a:solidFill>
                    <a:sysClr val="windowText" lastClr="000000"/>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5"/>
        <c:dLbl>
          <c:idx val="0"/>
          <c:layout>
            <c:manualLayout>
              <c:x val="-4.6196352534248086E-2"/>
              <c:y val="3.4511937313621474E-17"/>
            </c:manualLayout>
          </c:layout>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5">
              <a:lumMod val="60000"/>
              <a:lumOff val="40000"/>
            </a:schemeClr>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27"/>
        <c:spPr>
          <a:solidFill>
            <a:schemeClr val="accent5">
              <a:lumMod val="60000"/>
              <a:lumOff val="40000"/>
            </a:schemeClr>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28"/>
        <c:spPr>
          <a:solidFill>
            <a:schemeClr val="accent5">
              <a:lumMod val="60000"/>
              <a:lumOff val="40000"/>
            </a:schemeClr>
          </a:solidFill>
          <a:ln>
            <a:noFill/>
          </a:ln>
          <a:effectLst/>
        </c:spPr>
        <c:marker>
          <c:symbol val="none"/>
        </c:marker>
        <c:dLbl>
          <c:idx val="0"/>
          <c:spPr>
            <a:noFill/>
            <a:ln>
              <a:noFill/>
            </a:ln>
            <a:effectLst/>
          </c:spPr>
          <c:txPr>
            <a:bodyPr wrap="square" lIns="38100" tIns="19050" rIns="38100" bIns="19050" anchor="ctr">
              <a:spAutoFit/>
            </a:bodyPr>
            <a:lstStyle/>
            <a:p>
              <a:pPr>
                <a:defRPr sz="105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29"/>
        <c:spPr>
          <a:solidFill>
            <a:schemeClr val="accent5"/>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30"/>
        <c:spPr>
          <a:solidFill>
            <a:schemeClr val="accent5">
              <a:lumMod val="40000"/>
              <a:lumOff val="60000"/>
            </a:schemeClr>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31"/>
        <c:spPr>
          <a:solidFill>
            <a:schemeClr val="accent5">
              <a:lumMod val="60000"/>
              <a:lumOff val="40000"/>
            </a:schemeClr>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32"/>
        <c:spPr>
          <a:solidFill>
            <a:schemeClr val="accent5">
              <a:lumMod val="40000"/>
              <a:lumOff val="60000"/>
            </a:schemeClr>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33"/>
        <c:spPr>
          <a:solidFill>
            <a:schemeClr val="accent5">
              <a:lumMod val="40000"/>
              <a:lumOff val="60000"/>
            </a:schemeClr>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34"/>
        <c:spPr>
          <a:solidFill>
            <a:schemeClr val="accent5">
              <a:lumMod val="50000"/>
            </a:schemeClr>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tx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35"/>
        <c:dLbl>
          <c:idx val="0"/>
          <c:layout>
            <c:manualLayout>
              <c:x val="7.9180796014566665E-2"/>
              <c:y val="3.3644284748440812E-3"/>
            </c:manualLayout>
          </c:layout>
          <c:spPr>
            <a:noFill/>
            <a:ln>
              <a:noFill/>
            </a:ln>
            <a:effectLst/>
          </c:spPr>
          <c:txPr>
            <a:bodyPr wrap="square" lIns="38100" tIns="19050" rIns="38100" bIns="19050" anchor="ctr">
              <a:noAutofit/>
            </a:bodyPr>
            <a:lstStyle/>
            <a:p>
              <a:pPr>
                <a:defRPr>
                  <a:solidFill>
                    <a:schemeClr val="tx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15:layout>
                <c:manualLayout>
                  <c:w val="0.10962399168494691"/>
                  <c:h val="6.6394761430882937E-2"/>
                </c:manualLayout>
              </c15:layout>
            </c:ext>
          </c:extLst>
        </c:dLbl>
      </c:pivotFmt>
      <c:pivotFmt>
        <c:idx val="136"/>
        <c:spPr>
          <a:solidFill>
            <a:schemeClr val="accent5">
              <a:lumMod val="60000"/>
              <a:lumOff val="40000"/>
            </a:schemeClr>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37"/>
        <c:spPr>
          <a:solidFill>
            <a:schemeClr val="accent5"/>
          </a:solidFill>
          <a:ln>
            <a:noFill/>
          </a:ln>
          <a:effectLst/>
        </c:spPr>
        <c:marker>
          <c:symbol val="none"/>
        </c:marker>
        <c:dLbl>
          <c:idx val="0"/>
          <c:spPr>
            <a:noFill/>
            <a:ln>
              <a:noFill/>
            </a:ln>
            <a:effectLst/>
          </c:spPr>
          <c:txPr>
            <a:bodyPr wrap="square" lIns="38100" tIns="19050" rIns="38100" bIns="19050" anchor="ctr">
              <a:spAutoFit/>
            </a:bodyPr>
            <a:lstStyle/>
            <a:p>
              <a:pPr>
                <a:defRPr sz="105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38"/>
        <c:spPr>
          <a:solidFill>
            <a:schemeClr val="accent5">
              <a:lumMod val="40000"/>
              <a:lumOff val="60000"/>
            </a:schemeClr>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39"/>
        <c:dLbl>
          <c:idx val="0"/>
          <c:layout>
            <c:manualLayout>
              <c:x val="7.0517394857299576E-2"/>
              <c:y val="1.4659491460605609E-2"/>
            </c:manualLayout>
          </c:layout>
          <c:spPr>
            <a:noFill/>
            <a:ln>
              <a:noFill/>
            </a:ln>
            <a:effectLst/>
          </c:spPr>
          <c:txPr>
            <a:bodyPr wrap="square" lIns="38100" tIns="19050" rIns="38100" bIns="19050" anchor="ctr" anchorCtr="0">
              <a:noAutofit/>
            </a:bodyPr>
            <a:lstStyle/>
            <a:p>
              <a:pPr algn="l">
                <a:defRPr/>
              </a:pPr>
              <a:endParaRPr lang="en-US"/>
            </a:p>
          </c:txPr>
          <c:dLblPos val="ctr"/>
          <c:showLegendKey val="0"/>
          <c:showVal val="0"/>
          <c:showCatName val="0"/>
          <c:showSerName val="1"/>
          <c:showPercent val="0"/>
          <c:showBubbleSize val="0"/>
          <c:extLst>
            <c:ext xmlns:c15="http://schemas.microsoft.com/office/drawing/2012/chart" uri="{CE6537A1-D6FC-4f65-9D91-7224C49458BB}">
              <c15:layout>
                <c:manualLayout>
                  <c:w val="8.6190008430617276E-2"/>
                  <c:h val="6.9858324660624874E-2"/>
                </c:manualLayout>
              </c15:layout>
            </c:ext>
          </c:extLst>
        </c:dLbl>
      </c:pivotFmt>
      <c:pivotFmt>
        <c:idx val="140"/>
        <c:spPr>
          <a:solidFill>
            <a:schemeClr val="accent5">
              <a:lumMod val="60000"/>
              <a:lumOff val="40000"/>
            </a:schemeClr>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41"/>
        <c:spPr>
          <a:solidFill>
            <a:schemeClr val="accent5"/>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42"/>
        <c:spPr>
          <a:solidFill>
            <a:srgbClr val="FFCCFF"/>
          </a:solidFill>
          <a:ln>
            <a:noFill/>
          </a:ln>
          <a:effectLst/>
        </c:spPr>
        <c:marker>
          <c:symbol val="none"/>
        </c:marker>
        <c:dLbl>
          <c:idx val="0"/>
          <c:spPr>
            <a:noFill/>
            <a:ln>
              <a:noFill/>
            </a:ln>
            <a:effectLst/>
          </c:spPr>
          <c:txPr>
            <a:bodyPr wrap="square" lIns="38100" tIns="19050" rIns="38100" bIns="19050" anchor="ctr" anchorCtr="0">
              <a:spAutoFit/>
            </a:bodyPr>
            <a:lstStyle/>
            <a:p>
              <a:pPr algn="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43"/>
        <c:dLbl>
          <c:idx val="0"/>
          <c:layout>
            <c:manualLayout>
              <c:x val="8.6659400973663064E-2"/>
              <c:y val="1.4424296750962861E-2"/>
            </c:manualLayout>
          </c:layout>
          <c:spPr>
            <a:noFill/>
            <a:ln>
              <a:noFill/>
            </a:ln>
            <a:effectLst/>
          </c:spPr>
          <c:txPr>
            <a:bodyPr wrap="square" lIns="38100" tIns="19050" rIns="38100" bIns="19050" anchor="ctr" anchorCtr="0">
              <a:noAutofit/>
            </a:bodyPr>
            <a:lstStyle/>
            <a:p>
              <a:pPr algn="l">
                <a:defRPr/>
              </a:pPr>
              <a:endParaRPr lang="en-US"/>
            </a:p>
          </c:txPr>
          <c:dLblPos val="ctr"/>
          <c:showLegendKey val="0"/>
          <c:showVal val="0"/>
          <c:showCatName val="0"/>
          <c:showSerName val="1"/>
          <c:showPercent val="0"/>
          <c:showBubbleSize val="0"/>
          <c:extLst>
            <c:ext xmlns:c15="http://schemas.microsoft.com/office/drawing/2012/chart" uri="{CE6537A1-D6FC-4f65-9D91-7224C49458BB}">
              <c15:layout>
                <c:manualLayout>
                  <c:w val="0.12137861129424245"/>
                  <c:h val="7.7576402130067834E-2"/>
                </c:manualLayout>
              </c15:layout>
            </c:ext>
          </c:extLst>
        </c:dLbl>
      </c:pivotFmt>
      <c:pivotFmt>
        <c:idx val="144"/>
        <c:spPr>
          <a:solidFill>
            <a:schemeClr val="accent5"/>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45"/>
        <c:spPr>
          <a:solidFill>
            <a:schemeClr val="accent5">
              <a:lumMod val="60000"/>
              <a:lumOff val="40000"/>
            </a:schemeClr>
          </a:solidFill>
          <a:ln>
            <a:noFill/>
          </a:ln>
          <a:effectLst/>
        </c:spPr>
        <c:marker>
          <c:symbol val="none"/>
        </c:marker>
        <c:dLbl>
          <c:idx val="0"/>
          <c:spPr>
            <a:noFill/>
            <a:ln>
              <a:noFill/>
            </a:ln>
            <a:effectLst/>
          </c:spPr>
          <c:txPr>
            <a:bodyPr wrap="square" lIns="38100" tIns="19050" rIns="38100" bIns="19050" anchor="ctr" anchorCtr="0">
              <a:spAutoFit/>
            </a:bodyPr>
            <a:lstStyle/>
            <a:p>
              <a:pPr algn="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46"/>
        <c:dLbl>
          <c:idx val="0"/>
          <c:layout>
            <c:manualLayout>
              <c:x val="8.7281427512708537E-2"/>
              <c:y val="3.7861567514911472E-3"/>
            </c:manualLayout>
          </c:layout>
          <c:spPr>
            <a:noFill/>
            <a:ln>
              <a:noFill/>
            </a:ln>
            <a:effectLst/>
          </c:spPr>
          <c:txPr>
            <a:bodyPr wrap="square" lIns="38100" tIns="19050" rIns="38100" bIns="19050" anchor="ctr" anchorCtr="0">
              <a:noAutofit/>
            </a:bodyPr>
            <a:lstStyle/>
            <a:p>
              <a:pPr algn="l">
                <a:defRPr/>
              </a:pPr>
              <a:endParaRPr lang="en-US"/>
            </a:p>
          </c:txPr>
          <c:dLblPos val="ctr"/>
          <c:showLegendKey val="0"/>
          <c:showVal val="0"/>
          <c:showCatName val="0"/>
          <c:showSerName val="1"/>
          <c:showPercent val="0"/>
          <c:showBubbleSize val="0"/>
          <c:extLst>
            <c:ext xmlns:c15="http://schemas.microsoft.com/office/drawing/2012/chart" uri="{CE6537A1-D6FC-4f65-9D91-7224C49458BB}">
              <c15:layout>
                <c:manualLayout>
                  <c:w val="0.12548922104568361"/>
                  <c:h val="8.6052682581130788E-2"/>
                </c:manualLayout>
              </c15:layout>
            </c:ext>
          </c:extLst>
        </c:dLbl>
      </c:pivotFmt>
      <c:pivotFmt>
        <c:idx val="147"/>
        <c:spPr>
          <a:solidFill>
            <a:schemeClr val="accent5"/>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48"/>
        <c:dLbl>
          <c:idx val="0"/>
          <c:layout>
            <c:manualLayout>
              <c:x val="4.4091989103549008E-2"/>
              <c:y val="7.576933887373803E-3"/>
            </c:manualLayout>
          </c:layout>
          <c:spPr>
            <a:noFill/>
            <a:ln>
              <a:noFill/>
            </a:ln>
            <a:effectLst/>
          </c:spPr>
          <c:txPr>
            <a:bodyPr wrap="square" lIns="38100" tIns="19050" rIns="38100" bIns="19050" anchor="ctr">
              <a:spAutoFit/>
            </a:bodyPr>
            <a:lstStyle/>
            <a:p>
              <a:pPr>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49"/>
        <c:spPr>
          <a:solidFill>
            <a:schemeClr val="accent5">
              <a:lumMod val="75000"/>
            </a:schemeClr>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50"/>
        <c:spPr>
          <a:solidFill>
            <a:schemeClr val="accent5">
              <a:lumMod val="75000"/>
            </a:schemeClr>
          </a:solidFill>
          <a:ln>
            <a:noFill/>
          </a:ln>
          <a:effectLst/>
        </c:spPr>
        <c:marker>
          <c:symbol val="none"/>
        </c:marker>
        <c:dLbl>
          <c:idx val="0"/>
          <c:spPr>
            <a:solidFill>
              <a:schemeClr val="accent5">
                <a:lumMod val="75000"/>
              </a:schemeClr>
            </a:solidFill>
            <a:ln>
              <a:noFill/>
            </a:ln>
            <a:effectLst/>
          </c:spPr>
          <c:txPr>
            <a:bodyPr wrap="square" lIns="38100" tIns="19050" rIns="38100" bIns="19050" anchor="ctr">
              <a:spAutoFit/>
            </a:bodyPr>
            <a:lstStyle/>
            <a:p>
              <a:pPr>
                <a:defRPr sz="105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51"/>
        <c:spPr>
          <a:solidFill>
            <a:schemeClr val="accent5">
              <a:lumMod val="20000"/>
              <a:lumOff val="80000"/>
            </a:schemeClr>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52"/>
        <c:dLbl>
          <c:idx val="0"/>
          <c:layout>
            <c:manualLayout>
              <c:x val="5.194269686465957E-2"/>
              <c:y val="0"/>
            </c:manualLayout>
          </c:layout>
          <c:spPr>
            <a:noFill/>
            <a:ln>
              <a:noFill/>
            </a:ln>
            <a:effectLst/>
          </c:spPr>
          <c:txPr>
            <a:bodyPr wrap="square" lIns="38100" tIns="19050" rIns="38100" bIns="19050" anchor="ctr">
              <a:spAutoFit/>
            </a:bodyPr>
            <a:lstStyle/>
            <a:p>
              <a:pPr>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53"/>
        <c:spPr>
          <a:solidFill>
            <a:schemeClr val="accent5"/>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54"/>
        <c:spPr>
          <a:solidFill>
            <a:schemeClr val="accent5">
              <a:lumMod val="75000"/>
            </a:schemeClr>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55"/>
        <c:dLbl>
          <c:idx val="0"/>
          <c:layout>
            <c:manualLayout>
              <c:x val="2.9872649643443628E-4"/>
              <c:y val="-3.5544785359961716E-2"/>
            </c:manualLayout>
          </c:layout>
          <c:spPr>
            <a:noFill/>
            <a:ln>
              <a:noFill/>
            </a:ln>
            <a:effectLst/>
          </c:spPr>
          <c:txPr>
            <a:bodyPr wrap="square" lIns="38100" tIns="19050" rIns="38100" bIns="19050" anchor="ctr">
              <a:spAutoFit/>
            </a:bodyPr>
            <a:lstStyle/>
            <a:p>
              <a:pPr>
                <a:defRPr>
                  <a:solidFill>
                    <a:sysClr val="windowText" lastClr="000000"/>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56"/>
        <c:spPr>
          <a:solidFill>
            <a:schemeClr val="accent5">
              <a:lumMod val="50000"/>
            </a:schemeClr>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57"/>
        <c:dLbl>
          <c:idx val="0"/>
          <c:layout>
            <c:manualLayout>
              <c:x val="-9.6327122661061788E-4"/>
              <c:y val="5.698859689587151E-3"/>
            </c:manualLayout>
          </c:layout>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58"/>
        <c:spPr>
          <a:solidFill>
            <a:schemeClr val="accent3">
              <a:lumMod val="60000"/>
            </a:schemeClr>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59"/>
        <c:dLbl>
          <c:idx val="0"/>
          <c:layout>
            <c:manualLayout>
              <c:x val="6.5882176032124068E-2"/>
              <c:y val="1.3657046923785401E-3"/>
            </c:manualLayout>
          </c:layout>
          <c:spPr>
            <a:noFill/>
            <a:ln>
              <a:noFill/>
            </a:ln>
            <a:effectLst/>
          </c:spPr>
          <c:txPr>
            <a:bodyPr wrap="square" lIns="38100" tIns="19050" rIns="38100" bIns="19050" anchor="ctr">
              <a:spAutoFit/>
            </a:bodyPr>
            <a:lstStyle/>
            <a:p>
              <a:pPr>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60"/>
        <c:spPr>
          <a:solidFill>
            <a:schemeClr val="accent5">
              <a:lumMod val="20000"/>
              <a:lumOff val="80000"/>
            </a:schemeClr>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accent5"/>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61"/>
        <c:spPr>
          <a:solidFill>
            <a:srgbClr val="FFCCCC"/>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62"/>
        <c:dLbl>
          <c:idx val="0"/>
          <c:layout>
            <c:manualLayout>
              <c:x val="2.9956190029315714E-4"/>
              <c:y val="-4.1649359232446309E-2"/>
            </c:manualLayout>
          </c:layout>
          <c:spPr>
            <a:noFill/>
            <a:ln>
              <a:noFill/>
            </a:ln>
            <a:effectLst/>
          </c:spPr>
          <c:txPr>
            <a:bodyPr wrap="square" lIns="38100" tIns="19050" rIns="38100" bIns="19050" anchor="ctr">
              <a:spAutoFit/>
            </a:bodyPr>
            <a:lstStyle/>
            <a:p>
              <a:pPr>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63"/>
        <c:spPr>
          <a:solidFill>
            <a:schemeClr val="accent5">
              <a:lumMod val="40000"/>
              <a:lumOff val="60000"/>
            </a:schemeClr>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64"/>
      </c:pivotFmt>
      <c:pivotFmt>
        <c:idx val="165"/>
      </c:pivotFmt>
      <c:pivotFmt>
        <c:idx val="166"/>
      </c:pivotFmt>
      <c:pivotFmt>
        <c:idx val="167"/>
      </c:pivotFmt>
      <c:pivotFmt>
        <c:idx val="168"/>
      </c:pivotFmt>
      <c:pivotFmt>
        <c:idx val="169"/>
      </c:pivotFmt>
      <c:pivotFmt>
        <c:idx val="170"/>
        <c:dLbl>
          <c:idx val="0"/>
          <c:layout>
            <c:manualLayout>
              <c:x val="0"/>
              <c:y val="1.0611024570454028E-2"/>
            </c:manualLayout>
          </c:layout>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71"/>
        <c:dLbl>
          <c:idx val="0"/>
          <c:spPr>
            <a:noFill/>
            <a:ln>
              <a:noFill/>
            </a:ln>
            <a:effectLst/>
          </c:spPr>
          <c:txPr>
            <a:bodyPr wrap="square" lIns="38100" tIns="19050" rIns="38100" bIns="19050" anchor="ctr">
              <a:noAutofit/>
            </a:bodyPr>
            <a:lstStyle/>
            <a:p>
              <a:pPr>
                <a:defRPr sz="105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15:layout>
                <c:manualLayout>
                  <c:w val="5.2300777193057112E-2"/>
                  <c:h val="8.0261789850914256E-2"/>
                </c:manualLayout>
              </c15:layout>
            </c:ext>
          </c:extLst>
        </c:dLbl>
      </c:pivotFmt>
      <c:pivotFmt>
        <c:idx val="172"/>
        <c:spPr>
          <a:solidFill>
            <a:schemeClr val="accent5">
              <a:lumMod val="60000"/>
              <a:lumOff val="40000"/>
            </a:schemeClr>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73"/>
        <c:spPr>
          <a:solidFill>
            <a:schemeClr val="accent5">
              <a:lumMod val="60000"/>
              <a:lumOff val="40000"/>
            </a:schemeClr>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74"/>
        <c:spPr>
          <a:solidFill>
            <a:schemeClr val="accent5">
              <a:lumMod val="60000"/>
              <a:lumOff val="40000"/>
            </a:schemeClr>
          </a:solidFill>
          <a:ln>
            <a:noFill/>
          </a:ln>
          <a:effectLst/>
        </c:spPr>
        <c:marker>
          <c:symbol val="none"/>
        </c:marker>
        <c:dLbl>
          <c:idx val="0"/>
          <c:spPr>
            <a:noFill/>
            <a:ln>
              <a:noFill/>
            </a:ln>
            <a:effectLst/>
          </c:spPr>
          <c:txPr>
            <a:bodyPr wrap="square" lIns="38100" tIns="19050" rIns="38100" bIns="19050" anchor="ctr">
              <a:spAutoFit/>
            </a:bodyPr>
            <a:lstStyle/>
            <a:p>
              <a:pPr>
                <a:defRPr sz="105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75"/>
        <c:spPr>
          <a:solidFill>
            <a:schemeClr val="accent5"/>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76"/>
        <c:spPr>
          <a:solidFill>
            <a:schemeClr val="accent5">
              <a:lumMod val="40000"/>
              <a:lumOff val="60000"/>
            </a:schemeClr>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77"/>
        <c:spPr>
          <a:solidFill>
            <a:schemeClr val="accent5">
              <a:lumMod val="60000"/>
              <a:lumOff val="40000"/>
            </a:schemeClr>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78"/>
        <c:spPr>
          <a:solidFill>
            <a:schemeClr val="accent5">
              <a:lumMod val="40000"/>
              <a:lumOff val="60000"/>
            </a:schemeClr>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79"/>
        <c:spPr>
          <a:solidFill>
            <a:schemeClr val="accent5">
              <a:lumMod val="40000"/>
              <a:lumOff val="60000"/>
            </a:schemeClr>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80"/>
        <c:spPr>
          <a:solidFill>
            <a:schemeClr val="accent5">
              <a:lumMod val="50000"/>
            </a:schemeClr>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tx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81"/>
        <c:dLbl>
          <c:idx val="0"/>
          <c:layout>
            <c:manualLayout>
              <c:x val="7.9180796014566665E-2"/>
              <c:y val="3.3644284748440812E-3"/>
            </c:manualLayout>
          </c:layout>
          <c:spPr>
            <a:noFill/>
            <a:ln>
              <a:noFill/>
            </a:ln>
            <a:effectLst/>
          </c:spPr>
          <c:txPr>
            <a:bodyPr wrap="square" lIns="38100" tIns="19050" rIns="38100" bIns="19050" anchor="ctr">
              <a:noAutofit/>
            </a:bodyPr>
            <a:lstStyle/>
            <a:p>
              <a:pPr>
                <a:defRPr>
                  <a:solidFill>
                    <a:schemeClr val="tx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15:layout>
                <c:manualLayout>
                  <c:w val="0.10962399168494691"/>
                  <c:h val="6.6394761430882937E-2"/>
                </c:manualLayout>
              </c15:layout>
            </c:ext>
          </c:extLst>
        </c:dLbl>
      </c:pivotFmt>
      <c:pivotFmt>
        <c:idx val="182"/>
        <c:spPr>
          <a:solidFill>
            <a:schemeClr val="accent5">
              <a:lumMod val="60000"/>
              <a:lumOff val="40000"/>
            </a:schemeClr>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83"/>
        <c:spPr>
          <a:solidFill>
            <a:schemeClr val="accent5"/>
          </a:solidFill>
          <a:ln>
            <a:noFill/>
          </a:ln>
          <a:effectLst/>
        </c:spPr>
        <c:marker>
          <c:symbol val="none"/>
        </c:marker>
        <c:dLbl>
          <c:idx val="0"/>
          <c:spPr>
            <a:noFill/>
            <a:ln>
              <a:noFill/>
            </a:ln>
            <a:effectLst/>
          </c:spPr>
          <c:txPr>
            <a:bodyPr wrap="square" lIns="38100" tIns="19050" rIns="38100" bIns="19050" anchor="ctr">
              <a:spAutoFit/>
            </a:bodyPr>
            <a:lstStyle/>
            <a:p>
              <a:pPr>
                <a:defRPr sz="105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84"/>
        <c:dLbl>
          <c:idx val="0"/>
          <c:spPr>
            <a:noFill/>
            <a:ln>
              <a:noFill/>
            </a:ln>
            <a:effectLst/>
          </c:spPr>
          <c:txPr>
            <a:bodyPr wrap="square" lIns="38100" tIns="19050" rIns="38100" bIns="19050" anchor="ctr">
              <a:noAutofit/>
            </a:bodyPr>
            <a:lstStyle/>
            <a:p>
              <a:pPr>
                <a:defRPr sz="105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15:layout>
                <c:manualLayout>
                  <c:w val="5.2300777193057112E-2"/>
                  <c:h val="8.0261789850914256E-2"/>
                </c:manualLayout>
              </c15:layout>
            </c:ext>
          </c:extLst>
        </c:dLbl>
      </c:pivotFmt>
      <c:pivotFmt>
        <c:idx val="185"/>
        <c:spPr>
          <a:solidFill>
            <a:schemeClr val="accent5">
              <a:lumMod val="40000"/>
              <a:lumOff val="60000"/>
            </a:schemeClr>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86"/>
        <c:dLbl>
          <c:idx val="0"/>
          <c:layout>
            <c:manualLayout>
              <c:x val="7.0517394857299576E-2"/>
              <c:y val="1.4659491460605609E-2"/>
            </c:manualLayout>
          </c:layout>
          <c:spPr>
            <a:noFill/>
            <a:ln>
              <a:noFill/>
            </a:ln>
            <a:effectLst/>
          </c:spPr>
          <c:txPr>
            <a:bodyPr wrap="square" lIns="38100" tIns="19050" rIns="38100" bIns="19050" anchor="ctr" anchorCtr="0">
              <a:noAutofit/>
            </a:bodyPr>
            <a:lstStyle/>
            <a:p>
              <a:pPr algn="l">
                <a:defRPr/>
              </a:pPr>
              <a:endParaRPr lang="en-US"/>
            </a:p>
          </c:txPr>
          <c:dLblPos val="ctr"/>
          <c:showLegendKey val="0"/>
          <c:showVal val="0"/>
          <c:showCatName val="0"/>
          <c:showSerName val="1"/>
          <c:showPercent val="0"/>
          <c:showBubbleSize val="0"/>
          <c:extLst>
            <c:ext xmlns:c15="http://schemas.microsoft.com/office/drawing/2012/chart" uri="{CE6537A1-D6FC-4f65-9D91-7224C49458BB}">
              <c15:layout>
                <c:manualLayout>
                  <c:w val="8.6190008430617276E-2"/>
                  <c:h val="6.9858324660624874E-2"/>
                </c:manualLayout>
              </c15:layout>
            </c:ext>
          </c:extLst>
        </c:dLbl>
      </c:pivotFmt>
      <c:pivotFmt>
        <c:idx val="187"/>
        <c:spPr>
          <a:solidFill>
            <a:schemeClr val="accent5">
              <a:lumMod val="60000"/>
              <a:lumOff val="40000"/>
            </a:schemeClr>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88"/>
        <c:spPr>
          <a:solidFill>
            <a:schemeClr val="accent5"/>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89"/>
        <c:spPr>
          <a:solidFill>
            <a:srgbClr val="FFCCFF"/>
          </a:solidFill>
          <a:ln>
            <a:noFill/>
          </a:ln>
          <a:effectLst/>
        </c:spPr>
        <c:marker>
          <c:symbol val="none"/>
        </c:marker>
        <c:dLbl>
          <c:idx val="0"/>
          <c:spPr>
            <a:noFill/>
            <a:ln>
              <a:noFill/>
            </a:ln>
            <a:effectLst/>
          </c:spPr>
          <c:txPr>
            <a:bodyPr wrap="square" lIns="38100" tIns="19050" rIns="38100" bIns="19050" anchor="ctr" anchorCtr="0">
              <a:spAutoFit/>
            </a:bodyPr>
            <a:lstStyle/>
            <a:p>
              <a:pPr algn="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90"/>
        <c:dLbl>
          <c:idx val="0"/>
          <c:layout>
            <c:manualLayout>
              <c:x val="8.6659400973663064E-2"/>
              <c:y val="1.4424296750962861E-2"/>
            </c:manualLayout>
          </c:layout>
          <c:spPr>
            <a:noFill/>
            <a:ln>
              <a:noFill/>
            </a:ln>
            <a:effectLst/>
          </c:spPr>
          <c:txPr>
            <a:bodyPr wrap="square" lIns="38100" tIns="19050" rIns="38100" bIns="19050" anchor="ctr" anchorCtr="0">
              <a:noAutofit/>
            </a:bodyPr>
            <a:lstStyle/>
            <a:p>
              <a:pPr algn="l">
                <a:defRPr/>
              </a:pPr>
              <a:endParaRPr lang="en-US"/>
            </a:p>
          </c:txPr>
          <c:dLblPos val="ctr"/>
          <c:showLegendKey val="0"/>
          <c:showVal val="0"/>
          <c:showCatName val="0"/>
          <c:showSerName val="1"/>
          <c:showPercent val="0"/>
          <c:showBubbleSize val="0"/>
          <c:extLst>
            <c:ext xmlns:c15="http://schemas.microsoft.com/office/drawing/2012/chart" uri="{CE6537A1-D6FC-4f65-9D91-7224C49458BB}">
              <c15:layout>
                <c:manualLayout>
                  <c:w val="0.12137861129424245"/>
                  <c:h val="7.7576402130067834E-2"/>
                </c:manualLayout>
              </c15:layout>
            </c:ext>
          </c:extLst>
        </c:dLbl>
      </c:pivotFmt>
      <c:pivotFmt>
        <c:idx val="191"/>
        <c:spPr>
          <a:solidFill>
            <a:schemeClr val="accent5"/>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92"/>
        <c:spPr>
          <a:solidFill>
            <a:schemeClr val="accent5">
              <a:lumMod val="60000"/>
              <a:lumOff val="40000"/>
            </a:schemeClr>
          </a:solidFill>
          <a:ln>
            <a:noFill/>
          </a:ln>
          <a:effectLst/>
        </c:spPr>
        <c:marker>
          <c:symbol val="none"/>
        </c:marker>
        <c:dLbl>
          <c:idx val="0"/>
          <c:spPr>
            <a:noFill/>
            <a:ln>
              <a:noFill/>
            </a:ln>
            <a:effectLst/>
          </c:spPr>
          <c:txPr>
            <a:bodyPr wrap="square" lIns="38100" tIns="19050" rIns="38100" bIns="19050" anchor="ctr" anchorCtr="0">
              <a:spAutoFit/>
            </a:bodyPr>
            <a:lstStyle/>
            <a:p>
              <a:pPr algn="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93"/>
        <c:dLbl>
          <c:idx val="0"/>
          <c:layout>
            <c:manualLayout>
              <c:x val="8.7281427512708537E-2"/>
              <c:y val="3.7861567514911472E-3"/>
            </c:manualLayout>
          </c:layout>
          <c:spPr>
            <a:noFill/>
            <a:ln>
              <a:noFill/>
            </a:ln>
            <a:effectLst/>
          </c:spPr>
          <c:txPr>
            <a:bodyPr wrap="square" lIns="38100" tIns="19050" rIns="38100" bIns="19050" anchor="ctr" anchorCtr="0">
              <a:noAutofit/>
            </a:bodyPr>
            <a:lstStyle/>
            <a:p>
              <a:pPr algn="l">
                <a:defRPr/>
              </a:pPr>
              <a:endParaRPr lang="en-US"/>
            </a:p>
          </c:txPr>
          <c:dLblPos val="ctr"/>
          <c:showLegendKey val="0"/>
          <c:showVal val="0"/>
          <c:showCatName val="0"/>
          <c:showSerName val="1"/>
          <c:showPercent val="0"/>
          <c:showBubbleSize val="0"/>
          <c:extLst>
            <c:ext xmlns:c15="http://schemas.microsoft.com/office/drawing/2012/chart" uri="{CE6537A1-D6FC-4f65-9D91-7224C49458BB}">
              <c15:layout>
                <c:manualLayout>
                  <c:w val="0.12548922104568361"/>
                  <c:h val="8.6052682581130788E-2"/>
                </c:manualLayout>
              </c15:layout>
            </c:ext>
          </c:extLst>
        </c:dLbl>
      </c:pivotFmt>
      <c:pivotFmt>
        <c:idx val="194"/>
        <c:spPr>
          <a:solidFill>
            <a:schemeClr val="accent5"/>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95"/>
        <c:dLbl>
          <c:idx val="0"/>
          <c:layout>
            <c:manualLayout>
              <c:x val="4.4091989103549008E-2"/>
              <c:y val="7.576933887373803E-3"/>
            </c:manualLayout>
          </c:layout>
          <c:spPr>
            <a:noFill/>
            <a:ln>
              <a:noFill/>
            </a:ln>
            <a:effectLst/>
          </c:spPr>
          <c:txPr>
            <a:bodyPr wrap="square" lIns="38100" tIns="19050" rIns="38100" bIns="19050" anchor="ctr">
              <a:spAutoFit/>
            </a:bodyPr>
            <a:lstStyle/>
            <a:p>
              <a:pPr>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96"/>
        <c:spPr>
          <a:solidFill>
            <a:schemeClr val="accent5">
              <a:lumMod val="75000"/>
            </a:schemeClr>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97"/>
        <c:dLbl>
          <c:idx val="0"/>
          <c:layout>
            <c:manualLayout>
              <c:x val="0"/>
              <c:y val="1.0611024570454028E-2"/>
            </c:manualLayout>
          </c:layout>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98"/>
        <c:spPr>
          <a:solidFill>
            <a:schemeClr val="accent5">
              <a:lumMod val="75000"/>
            </a:schemeClr>
          </a:solidFill>
          <a:ln>
            <a:noFill/>
          </a:ln>
          <a:effectLst/>
        </c:spPr>
        <c:marker>
          <c:symbol val="none"/>
        </c:marker>
        <c:dLbl>
          <c:idx val="0"/>
          <c:spPr>
            <a:solidFill>
              <a:schemeClr val="accent5">
                <a:lumMod val="75000"/>
              </a:schemeClr>
            </a:solidFill>
            <a:ln>
              <a:noFill/>
            </a:ln>
            <a:effectLst/>
          </c:spPr>
          <c:txPr>
            <a:bodyPr wrap="square" lIns="38100" tIns="19050" rIns="38100" bIns="19050" anchor="ctr">
              <a:spAutoFit/>
            </a:bodyPr>
            <a:lstStyle/>
            <a:p>
              <a:pPr>
                <a:defRPr sz="105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99"/>
        <c:spPr>
          <a:solidFill>
            <a:schemeClr val="accent5">
              <a:lumMod val="20000"/>
              <a:lumOff val="80000"/>
            </a:schemeClr>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00"/>
        <c:dLbl>
          <c:idx val="0"/>
          <c:layout>
            <c:manualLayout>
              <c:x val="5.194269686465957E-2"/>
              <c:y val="0"/>
            </c:manualLayout>
          </c:layout>
          <c:spPr>
            <a:noFill/>
            <a:ln>
              <a:noFill/>
            </a:ln>
            <a:effectLst/>
          </c:spPr>
          <c:txPr>
            <a:bodyPr wrap="square" lIns="38100" tIns="19050" rIns="38100" bIns="19050" anchor="ctr">
              <a:spAutoFit/>
            </a:bodyPr>
            <a:lstStyle/>
            <a:p>
              <a:pPr>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01"/>
        <c:spPr>
          <a:solidFill>
            <a:schemeClr val="accent5"/>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02"/>
        <c:spPr>
          <a:solidFill>
            <a:schemeClr val="accent5">
              <a:lumMod val="75000"/>
            </a:schemeClr>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03"/>
        <c:dLbl>
          <c:idx val="0"/>
          <c:layout>
            <c:manualLayout>
              <c:x val="2.9872649643443628E-4"/>
              <c:y val="-3.5544785359961716E-2"/>
            </c:manualLayout>
          </c:layout>
          <c:spPr>
            <a:noFill/>
            <a:ln>
              <a:noFill/>
            </a:ln>
            <a:effectLst/>
          </c:spPr>
          <c:txPr>
            <a:bodyPr wrap="square" lIns="38100" tIns="19050" rIns="38100" bIns="19050" anchor="ctr">
              <a:spAutoFit/>
            </a:bodyPr>
            <a:lstStyle/>
            <a:p>
              <a:pPr>
                <a:defRPr>
                  <a:solidFill>
                    <a:sysClr val="windowText" lastClr="000000"/>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04"/>
        <c:spPr>
          <a:solidFill>
            <a:schemeClr val="accent5">
              <a:lumMod val="50000"/>
            </a:schemeClr>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05"/>
        <c:dLbl>
          <c:idx val="0"/>
          <c:layout>
            <c:manualLayout>
              <c:x val="-9.6327122661061788E-4"/>
              <c:y val="5.698859689587151E-3"/>
            </c:manualLayout>
          </c:layout>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06"/>
        <c:spPr>
          <a:solidFill>
            <a:schemeClr val="accent3">
              <a:lumMod val="60000"/>
            </a:schemeClr>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07"/>
        <c:dLbl>
          <c:idx val="0"/>
          <c:layout>
            <c:manualLayout>
              <c:x val="6.5882176032124068E-2"/>
              <c:y val="1.3657046923785401E-3"/>
            </c:manualLayout>
          </c:layout>
          <c:spPr>
            <a:noFill/>
            <a:ln>
              <a:noFill/>
            </a:ln>
            <a:effectLst/>
          </c:spPr>
          <c:txPr>
            <a:bodyPr wrap="square" lIns="38100" tIns="19050" rIns="38100" bIns="19050" anchor="ctr">
              <a:spAutoFit/>
            </a:bodyPr>
            <a:lstStyle/>
            <a:p>
              <a:pPr>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08"/>
        <c:spPr>
          <a:solidFill>
            <a:schemeClr val="accent5">
              <a:lumMod val="20000"/>
              <a:lumOff val="80000"/>
            </a:schemeClr>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accent5"/>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09"/>
        <c:spPr>
          <a:solidFill>
            <a:srgbClr val="FFCCCC"/>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10"/>
        <c:dLbl>
          <c:idx val="0"/>
          <c:layout>
            <c:manualLayout>
              <c:x val="2.9956190029315714E-4"/>
              <c:y val="-4.1649359232446309E-2"/>
            </c:manualLayout>
          </c:layout>
          <c:spPr>
            <a:noFill/>
            <a:ln>
              <a:noFill/>
            </a:ln>
            <a:effectLst/>
          </c:spPr>
          <c:txPr>
            <a:bodyPr wrap="square" lIns="38100" tIns="19050" rIns="38100" bIns="19050" anchor="ctr">
              <a:spAutoFit/>
            </a:bodyPr>
            <a:lstStyle/>
            <a:p>
              <a:pPr>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11"/>
        <c:spPr>
          <a:solidFill>
            <a:schemeClr val="accent5">
              <a:lumMod val="40000"/>
              <a:lumOff val="60000"/>
            </a:schemeClr>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12"/>
        <c:spPr>
          <a:solidFill>
            <a:schemeClr val="accent5">
              <a:lumMod val="60000"/>
              <a:lumOff val="40000"/>
            </a:schemeClr>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13"/>
        <c:spPr>
          <a:solidFill>
            <a:schemeClr val="accent5">
              <a:lumMod val="60000"/>
              <a:lumOff val="40000"/>
            </a:schemeClr>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14"/>
        <c:spPr>
          <a:solidFill>
            <a:schemeClr val="accent5">
              <a:lumMod val="60000"/>
              <a:lumOff val="40000"/>
            </a:schemeClr>
          </a:solidFill>
          <a:ln>
            <a:noFill/>
          </a:ln>
          <a:effectLst/>
        </c:spPr>
        <c:marker>
          <c:symbol val="none"/>
        </c:marker>
        <c:dLbl>
          <c:idx val="0"/>
          <c:spPr>
            <a:noFill/>
            <a:ln>
              <a:noFill/>
            </a:ln>
            <a:effectLst/>
          </c:spPr>
          <c:txPr>
            <a:bodyPr wrap="square" lIns="38100" tIns="19050" rIns="38100" bIns="19050" anchor="ctr">
              <a:spAutoFit/>
            </a:bodyPr>
            <a:lstStyle/>
            <a:p>
              <a:pPr>
                <a:defRPr sz="105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15"/>
        <c:spPr>
          <a:solidFill>
            <a:schemeClr val="accent5"/>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16"/>
        <c:spPr>
          <a:solidFill>
            <a:schemeClr val="accent5">
              <a:lumMod val="40000"/>
              <a:lumOff val="60000"/>
            </a:schemeClr>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17"/>
        <c:spPr>
          <a:solidFill>
            <a:schemeClr val="accent5">
              <a:lumMod val="60000"/>
              <a:lumOff val="40000"/>
            </a:schemeClr>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18"/>
        <c:spPr>
          <a:solidFill>
            <a:schemeClr val="accent5">
              <a:lumMod val="40000"/>
              <a:lumOff val="60000"/>
            </a:schemeClr>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19"/>
        <c:spPr>
          <a:solidFill>
            <a:schemeClr val="accent5">
              <a:lumMod val="40000"/>
              <a:lumOff val="60000"/>
            </a:schemeClr>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20"/>
        <c:spPr>
          <a:solidFill>
            <a:schemeClr val="accent5">
              <a:lumMod val="50000"/>
            </a:schemeClr>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tx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21"/>
        <c:dLbl>
          <c:idx val="0"/>
          <c:layout>
            <c:manualLayout>
              <c:x val="7.9180796014566665E-2"/>
              <c:y val="3.3644284748440812E-3"/>
            </c:manualLayout>
          </c:layout>
          <c:spPr>
            <a:noFill/>
            <a:ln>
              <a:noFill/>
            </a:ln>
            <a:effectLst/>
          </c:spPr>
          <c:txPr>
            <a:bodyPr wrap="square" lIns="38100" tIns="19050" rIns="38100" bIns="19050" anchor="ctr">
              <a:noAutofit/>
            </a:bodyPr>
            <a:lstStyle/>
            <a:p>
              <a:pPr>
                <a:defRPr>
                  <a:solidFill>
                    <a:schemeClr val="tx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15:layout>
                <c:manualLayout>
                  <c:w val="0.10962399168494691"/>
                  <c:h val="6.6394761430882937E-2"/>
                </c:manualLayout>
              </c15:layout>
            </c:ext>
          </c:extLst>
        </c:dLbl>
      </c:pivotFmt>
      <c:pivotFmt>
        <c:idx val="222"/>
        <c:spPr>
          <a:solidFill>
            <a:schemeClr val="accent5">
              <a:lumMod val="60000"/>
              <a:lumOff val="40000"/>
            </a:schemeClr>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23"/>
        <c:spPr>
          <a:solidFill>
            <a:schemeClr val="accent5"/>
          </a:solidFill>
          <a:ln>
            <a:noFill/>
          </a:ln>
          <a:effectLst/>
        </c:spPr>
        <c:marker>
          <c:symbol val="none"/>
        </c:marker>
        <c:dLbl>
          <c:idx val="0"/>
          <c:spPr>
            <a:noFill/>
            <a:ln>
              <a:noFill/>
            </a:ln>
            <a:effectLst/>
          </c:spPr>
          <c:txPr>
            <a:bodyPr wrap="square" lIns="38100" tIns="19050" rIns="38100" bIns="19050" anchor="ctr">
              <a:spAutoFit/>
            </a:bodyPr>
            <a:lstStyle/>
            <a:p>
              <a:pPr>
                <a:defRPr sz="105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24"/>
        <c:dLbl>
          <c:idx val="0"/>
          <c:spPr>
            <a:noFill/>
            <a:ln>
              <a:noFill/>
            </a:ln>
            <a:effectLst/>
          </c:spPr>
          <c:txPr>
            <a:bodyPr wrap="square" lIns="38100" tIns="19050" rIns="38100" bIns="19050" anchor="ctr">
              <a:noAutofit/>
            </a:bodyPr>
            <a:lstStyle/>
            <a:p>
              <a:pPr>
                <a:defRPr sz="105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15:layout>
                <c:manualLayout>
                  <c:w val="5.2300777193057112E-2"/>
                  <c:h val="8.0261789850914256E-2"/>
                </c:manualLayout>
              </c15:layout>
            </c:ext>
          </c:extLst>
        </c:dLbl>
      </c:pivotFmt>
      <c:pivotFmt>
        <c:idx val="225"/>
        <c:spPr>
          <a:solidFill>
            <a:schemeClr val="accent5">
              <a:lumMod val="40000"/>
              <a:lumOff val="60000"/>
            </a:schemeClr>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26"/>
        <c:dLbl>
          <c:idx val="0"/>
          <c:layout>
            <c:manualLayout>
              <c:x val="7.0517394857299576E-2"/>
              <c:y val="1.4659491460605609E-2"/>
            </c:manualLayout>
          </c:layout>
          <c:spPr>
            <a:noFill/>
            <a:ln>
              <a:noFill/>
            </a:ln>
            <a:effectLst/>
          </c:spPr>
          <c:txPr>
            <a:bodyPr wrap="square" lIns="38100" tIns="19050" rIns="38100" bIns="19050" anchor="ctr" anchorCtr="0">
              <a:noAutofit/>
            </a:bodyPr>
            <a:lstStyle/>
            <a:p>
              <a:pPr algn="l">
                <a:defRPr/>
              </a:pPr>
              <a:endParaRPr lang="en-US"/>
            </a:p>
          </c:txPr>
          <c:dLblPos val="ctr"/>
          <c:showLegendKey val="0"/>
          <c:showVal val="0"/>
          <c:showCatName val="0"/>
          <c:showSerName val="1"/>
          <c:showPercent val="0"/>
          <c:showBubbleSize val="0"/>
          <c:extLst>
            <c:ext xmlns:c15="http://schemas.microsoft.com/office/drawing/2012/chart" uri="{CE6537A1-D6FC-4f65-9D91-7224C49458BB}">
              <c15:layout>
                <c:manualLayout>
                  <c:w val="8.6190008430617276E-2"/>
                  <c:h val="6.9858324660624874E-2"/>
                </c:manualLayout>
              </c15:layout>
            </c:ext>
          </c:extLst>
        </c:dLbl>
      </c:pivotFmt>
      <c:pivotFmt>
        <c:idx val="227"/>
        <c:spPr>
          <a:solidFill>
            <a:schemeClr val="accent5">
              <a:lumMod val="60000"/>
              <a:lumOff val="40000"/>
            </a:schemeClr>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28"/>
        <c:spPr>
          <a:solidFill>
            <a:schemeClr val="accent5"/>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29"/>
        <c:spPr>
          <a:solidFill>
            <a:srgbClr val="FFCCFF"/>
          </a:solidFill>
          <a:ln>
            <a:noFill/>
          </a:ln>
          <a:effectLst/>
        </c:spPr>
        <c:marker>
          <c:symbol val="none"/>
        </c:marker>
        <c:dLbl>
          <c:idx val="0"/>
          <c:spPr>
            <a:noFill/>
            <a:ln>
              <a:noFill/>
            </a:ln>
            <a:effectLst/>
          </c:spPr>
          <c:txPr>
            <a:bodyPr wrap="square" lIns="38100" tIns="19050" rIns="38100" bIns="19050" anchor="ctr" anchorCtr="0">
              <a:spAutoFit/>
            </a:bodyPr>
            <a:lstStyle/>
            <a:p>
              <a:pPr algn="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30"/>
        <c:dLbl>
          <c:idx val="0"/>
          <c:layout>
            <c:manualLayout>
              <c:x val="8.6659400973663064E-2"/>
              <c:y val="1.4424296750962861E-2"/>
            </c:manualLayout>
          </c:layout>
          <c:spPr>
            <a:noFill/>
            <a:ln>
              <a:noFill/>
            </a:ln>
            <a:effectLst/>
          </c:spPr>
          <c:txPr>
            <a:bodyPr wrap="square" lIns="38100" tIns="19050" rIns="38100" bIns="19050" anchor="ctr" anchorCtr="0">
              <a:noAutofit/>
            </a:bodyPr>
            <a:lstStyle/>
            <a:p>
              <a:pPr algn="l">
                <a:defRPr/>
              </a:pPr>
              <a:endParaRPr lang="en-US"/>
            </a:p>
          </c:txPr>
          <c:dLblPos val="ctr"/>
          <c:showLegendKey val="0"/>
          <c:showVal val="0"/>
          <c:showCatName val="0"/>
          <c:showSerName val="1"/>
          <c:showPercent val="0"/>
          <c:showBubbleSize val="0"/>
          <c:extLst>
            <c:ext xmlns:c15="http://schemas.microsoft.com/office/drawing/2012/chart" uri="{CE6537A1-D6FC-4f65-9D91-7224C49458BB}">
              <c15:layout>
                <c:manualLayout>
                  <c:w val="0.12137861129424245"/>
                  <c:h val="7.7576402130067834E-2"/>
                </c:manualLayout>
              </c15:layout>
            </c:ext>
          </c:extLst>
        </c:dLbl>
      </c:pivotFmt>
      <c:pivotFmt>
        <c:idx val="231"/>
        <c:spPr>
          <a:solidFill>
            <a:schemeClr val="accent5"/>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32"/>
        <c:spPr>
          <a:solidFill>
            <a:schemeClr val="accent5">
              <a:lumMod val="60000"/>
              <a:lumOff val="40000"/>
            </a:schemeClr>
          </a:solidFill>
          <a:ln>
            <a:noFill/>
          </a:ln>
          <a:effectLst/>
        </c:spPr>
        <c:marker>
          <c:symbol val="none"/>
        </c:marker>
        <c:dLbl>
          <c:idx val="0"/>
          <c:spPr>
            <a:noFill/>
            <a:ln>
              <a:noFill/>
            </a:ln>
            <a:effectLst/>
          </c:spPr>
          <c:txPr>
            <a:bodyPr wrap="square" lIns="38100" tIns="19050" rIns="38100" bIns="19050" anchor="ctr" anchorCtr="0">
              <a:spAutoFit/>
            </a:bodyPr>
            <a:lstStyle/>
            <a:p>
              <a:pPr algn="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33"/>
        <c:dLbl>
          <c:idx val="0"/>
          <c:layout>
            <c:manualLayout>
              <c:x val="8.7281427512708537E-2"/>
              <c:y val="3.7861567514911472E-3"/>
            </c:manualLayout>
          </c:layout>
          <c:spPr>
            <a:noFill/>
            <a:ln>
              <a:noFill/>
            </a:ln>
            <a:effectLst/>
          </c:spPr>
          <c:txPr>
            <a:bodyPr wrap="square" lIns="38100" tIns="19050" rIns="38100" bIns="19050" anchor="ctr" anchorCtr="0">
              <a:noAutofit/>
            </a:bodyPr>
            <a:lstStyle/>
            <a:p>
              <a:pPr algn="l">
                <a:defRPr/>
              </a:pPr>
              <a:endParaRPr lang="en-US"/>
            </a:p>
          </c:txPr>
          <c:dLblPos val="ctr"/>
          <c:showLegendKey val="0"/>
          <c:showVal val="0"/>
          <c:showCatName val="0"/>
          <c:showSerName val="1"/>
          <c:showPercent val="0"/>
          <c:showBubbleSize val="0"/>
          <c:extLst>
            <c:ext xmlns:c15="http://schemas.microsoft.com/office/drawing/2012/chart" uri="{CE6537A1-D6FC-4f65-9D91-7224C49458BB}">
              <c15:layout>
                <c:manualLayout>
                  <c:w val="0.12548922104568361"/>
                  <c:h val="8.6052682581130788E-2"/>
                </c:manualLayout>
              </c15:layout>
            </c:ext>
          </c:extLst>
        </c:dLbl>
      </c:pivotFmt>
      <c:pivotFmt>
        <c:idx val="234"/>
        <c:spPr>
          <a:solidFill>
            <a:schemeClr val="accent5"/>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35"/>
        <c:dLbl>
          <c:idx val="0"/>
          <c:layout>
            <c:manualLayout>
              <c:x val="4.4091989103549008E-2"/>
              <c:y val="7.576933887373803E-3"/>
            </c:manualLayout>
          </c:layout>
          <c:spPr>
            <a:noFill/>
            <a:ln>
              <a:noFill/>
            </a:ln>
            <a:effectLst/>
          </c:spPr>
          <c:txPr>
            <a:bodyPr wrap="square" lIns="38100" tIns="19050" rIns="38100" bIns="19050" anchor="ctr">
              <a:spAutoFit/>
            </a:bodyPr>
            <a:lstStyle/>
            <a:p>
              <a:pPr>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36"/>
        <c:spPr>
          <a:solidFill>
            <a:schemeClr val="accent5">
              <a:lumMod val="75000"/>
            </a:schemeClr>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37"/>
        <c:dLbl>
          <c:idx val="0"/>
          <c:layout>
            <c:manualLayout>
              <c:x val="0"/>
              <c:y val="1.0611024570454028E-2"/>
            </c:manualLayout>
          </c:layout>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38"/>
        <c:spPr>
          <a:solidFill>
            <a:schemeClr val="accent5">
              <a:lumMod val="75000"/>
            </a:schemeClr>
          </a:solidFill>
          <a:ln>
            <a:noFill/>
          </a:ln>
          <a:effectLst/>
        </c:spPr>
        <c:marker>
          <c:symbol val="none"/>
        </c:marker>
        <c:dLbl>
          <c:idx val="0"/>
          <c:spPr>
            <a:solidFill>
              <a:schemeClr val="accent5">
                <a:lumMod val="75000"/>
              </a:schemeClr>
            </a:solidFill>
            <a:ln>
              <a:noFill/>
            </a:ln>
            <a:effectLst/>
          </c:spPr>
          <c:txPr>
            <a:bodyPr wrap="square" lIns="38100" tIns="19050" rIns="38100" bIns="19050" anchor="ctr">
              <a:spAutoFit/>
            </a:bodyPr>
            <a:lstStyle/>
            <a:p>
              <a:pPr>
                <a:defRPr sz="105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39"/>
        <c:spPr>
          <a:solidFill>
            <a:schemeClr val="accent5">
              <a:lumMod val="20000"/>
              <a:lumOff val="80000"/>
            </a:schemeClr>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40"/>
        <c:dLbl>
          <c:idx val="0"/>
          <c:layout>
            <c:manualLayout>
              <c:x val="5.194269686465957E-2"/>
              <c:y val="0"/>
            </c:manualLayout>
          </c:layout>
          <c:spPr>
            <a:noFill/>
            <a:ln>
              <a:noFill/>
            </a:ln>
            <a:effectLst/>
          </c:spPr>
          <c:txPr>
            <a:bodyPr wrap="square" lIns="38100" tIns="19050" rIns="38100" bIns="19050" anchor="ctr">
              <a:spAutoFit/>
            </a:bodyPr>
            <a:lstStyle/>
            <a:p>
              <a:pPr>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41"/>
        <c:spPr>
          <a:solidFill>
            <a:schemeClr val="accent5"/>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42"/>
        <c:spPr>
          <a:solidFill>
            <a:schemeClr val="accent5">
              <a:lumMod val="75000"/>
            </a:schemeClr>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43"/>
        <c:dLbl>
          <c:idx val="0"/>
          <c:layout>
            <c:manualLayout>
              <c:x val="2.9872649643443628E-4"/>
              <c:y val="-3.5544785359961716E-2"/>
            </c:manualLayout>
          </c:layout>
          <c:spPr>
            <a:noFill/>
            <a:ln>
              <a:noFill/>
            </a:ln>
            <a:effectLst/>
          </c:spPr>
          <c:txPr>
            <a:bodyPr wrap="square" lIns="38100" tIns="19050" rIns="38100" bIns="19050" anchor="ctr">
              <a:spAutoFit/>
            </a:bodyPr>
            <a:lstStyle/>
            <a:p>
              <a:pPr>
                <a:defRPr>
                  <a:solidFill>
                    <a:sysClr val="windowText" lastClr="000000"/>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44"/>
        <c:spPr>
          <a:solidFill>
            <a:schemeClr val="accent5">
              <a:lumMod val="50000"/>
            </a:schemeClr>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45"/>
        <c:dLbl>
          <c:idx val="0"/>
          <c:layout>
            <c:manualLayout>
              <c:x val="-9.6327122661061788E-4"/>
              <c:y val="5.698859689587151E-3"/>
            </c:manualLayout>
          </c:layout>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46"/>
        <c:spPr>
          <a:solidFill>
            <a:schemeClr val="accent3">
              <a:lumMod val="60000"/>
            </a:schemeClr>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47"/>
        <c:dLbl>
          <c:idx val="0"/>
          <c:layout>
            <c:manualLayout>
              <c:x val="6.5882176032124068E-2"/>
              <c:y val="1.3657046923785401E-3"/>
            </c:manualLayout>
          </c:layout>
          <c:spPr>
            <a:noFill/>
            <a:ln>
              <a:noFill/>
            </a:ln>
            <a:effectLst/>
          </c:spPr>
          <c:txPr>
            <a:bodyPr wrap="square" lIns="38100" tIns="19050" rIns="38100" bIns="19050" anchor="ctr">
              <a:spAutoFit/>
            </a:bodyPr>
            <a:lstStyle/>
            <a:p>
              <a:pPr>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48"/>
        <c:spPr>
          <a:solidFill>
            <a:schemeClr val="accent5">
              <a:lumMod val="20000"/>
              <a:lumOff val="80000"/>
            </a:schemeClr>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accent5"/>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49"/>
        <c:spPr>
          <a:solidFill>
            <a:srgbClr val="FFCCCC"/>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50"/>
        <c:dLbl>
          <c:idx val="0"/>
          <c:layout>
            <c:manualLayout>
              <c:x val="2.9956190029315714E-4"/>
              <c:y val="-4.1649359232446309E-2"/>
            </c:manualLayout>
          </c:layout>
          <c:spPr>
            <a:noFill/>
            <a:ln>
              <a:noFill/>
            </a:ln>
            <a:effectLst/>
          </c:spPr>
          <c:txPr>
            <a:bodyPr wrap="square" lIns="38100" tIns="19050" rIns="38100" bIns="19050" anchor="ctr">
              <a:spAutoFit/>
            </a:bodyPr>
            <a:lstStyle/>
            <a:p>
              <a:pPr>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51"/>
        <c:spPr>
          <a:solidFill>
            <a:schemeClr val="accent5">
              <a:lumMod val="40000"/>
              <a:lumOff val="60000"/>
            </a:schemeClr>
          </a:solidFill>
          <a:ln>
            <a:noFill/>
          </a:ln>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s>
    <c:plotArea>
      <c:layout>
        <c:manualLayout>
          <c:layoutTarget val="inner"/>
          <c:xMode val="edge"/>
          <c:yMode val="edge"/>
          <c:x val="5.4081780421722112E-2"/>
          <c:y val="5.7452917708726493E-2"/>
          <c:w val="0.8566964808892914"/>
          <c:h val="0.86695409292880832"/>
        </c:manualLayout>
      </c:layout>
      <c:barChart>
        <c:barDir val="col"/>
        <c:grouping val="stacked"/>
        <c:varyColors val="0"/>
        <c:ser>
          <c:idx val="0"/>
          <c:order val="0"/>
          <c:tx>
            <c:strRef>
              <c:f>'Figure 4'!$F$2:$F$3</c:f>
              <c:strCache>
                <c:ptCount val="1"/>
                <c:pt idx="0">
                  <c:v>Urban</c:v>
                </c:pt>
              </c:strCache>
            </c:strRef>
          </c:tx>
          <c:spPr>
            <a:solidFill>
              <a:schemeClr val="accent5">
                <a:lumMod val="60000"/>
                <a:lumOff val="40000"/>
              </a:schemeClr>
            </a:solidFill>
            <a:ln>
              <a:noFill/>
            </a:ln>
            <a:effectLst/>
          </c:spPr>
          <c:invertIfNegative val="0"/>
          <c:dLbls>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ext>
            </c:extLst>
          </c:dLbls>
          <c:cat>
            <c:strRef>
              <c:f>'Figure 4'!$E$4:$E$11</c:f>
              <c:strCache>
                <c:ptCount val="7"/>
                <c:pt idx="0">
                  <c:v>Gender</c:v>
                </c:pt>
                <c:pt idx="1">
                  <c:v>Age</c:v>
                </c:pt>
                <c:pt idx="2">
                  <c:v>Firm Size</c:v>
                </c:pt>
                <c:pt idx="3">
                  <c:v>Skill level</c:v>
                </c:pt>
                <c:pt idx="4">
                  <c:v>Labor Status</c:v>
                </c:pt>
                <c:pt idx="5">
                  <c:v>Urban</c:v>
                </c:pt>
                <c:pt idx="6">
                  <c:v>Sector</c:v>
                </c:pt>
              </c:strCache>
            </c:strRef>
          </c:cat>
          <c:val>
            <c:numRef>
              <c:f>'Figure 4'!$F$4:$F$11</c:f>
              <c:numCache>
                <c:formatCode>#,##0</c:formatCode>
                <c:ptCount val="7"/>
                <c:pt idx="5">
                  <c:v>25894015</c:v>
                </c:pt>
              </c:numCache>
            </c:numRef>
          </c:val>
          <c:extLst>
            <c:ext xmlns:c16="http://schemas.microsoft.com/office/drawing/2014/chart" uri="{C3380CC4-5D6E-409C-BE32-E72D297353CC}">
              <c16:uniqueId val="{00000000-BE3F-47C6-8B59-9E5B14D9319F}"/>
            </c:ext>
          </c:extLst>
        </c:ser>
        <c:ser>
          <c:idx val="1"/>
          <c:order val="1"/>
          <c:tx>
            <c:strRef>
              <c:f>'Figure 4'!$G$2:$G$3</c:f>
              <c:strCache>
                <c:ptCount val="1"/>
                <c:pt idx="0">
                  <c:v>Middle</c:v>
                </c:pt>
              </c:strCache>
            </c:strRef>
          </c:tx>
          <c:spPr>
            <a:solidFill>
              <a:schemeClr val="accent5">
                <a:lumMod val="60000"/>
                <a:lumOff val="40000"/>
              </a:schemeClr>
            </a:solidFill>
            <a:ln>
              <a:noFill/>
            </a:ln>
            <a:effectLst/>
          </c:spPr>
          <c:invertIfNegative val="0"/>
          <c:dLbls>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ext>
            </c:extLst>
          </c:dLbls>
          <c:cat>
            <c:strRef>
              <c:f>'Figure 4'!$E$4:$E$11</c:f>
              <c:strCache>
                <c:ptCount val="7"/>
                <c:pt idx="0">
                  <c:v>Gender</c:v>
                </c:pt>
                <c:pt idx="1">
                  <c:v>Age</c:v>
                </c:pt>
                <c:pt idx="2">
                  <c:v>Firm Size</c:v>
                </c:pt>
                <c:pt idx="3">
                  <c:v>Skill level</c:v>
                </c:pt>
                <c:pt idx="4">
                  <c:v>Labor Status</c:v>
                </c:pt>
                <c:pt idx="5">
                  <c:v>Urban</c:v>
                </c:pt>
                <c:pt idx="6">
                  <c:v>Sector</c:v>
                </c:pt>
              </c:strCache>
            </c:strRef>
          </c:cat>
          <c:val>
            <c:numRef>
              <c:f>'Figure 4'!$G$4:$G$11</c:f>
              <c:numCache>
                <c:formatCode>#,##0</c:formatCode>
                <c:ptCount val="7"/>
                <c:pt idx="3">
                  <c:v>18818162</c:v>
                </c:pt>
              </c:numCache>
            </c:numRef>
          </c:val>
          <c:extLst>
            <c:ext xmlns:c16="http://schemas.microsoft.com/office/drawing/2014/chart" uri="{C3380CC4-5D6E-409C-BE32-E72D297353CC}">
              <c16:uniqueId val="{00000001-BE3F-47C6-8B59-9E5B14D9319F}"/>
            </c:ext>
          </c:extLst>
        </c:ser>
        <c:ser>
          <c:idx val="2"/>
          <c:order val="2"/>
          <c:tx>
            <c:strRef>
              <c:f>'Figure 4'!$H$2:$H$3</c:f>
              <c:strCache>
                <c:ptCount val="1"/>
                <c:pt idx="0">
                  <c:v>Employee</c:v>
                </c:pt>
              </c:strCache>
            </c:strRef>
          </c:tx>
          <c:spPr>
            <a:solidFill>
              <a:schemeClr val="accent5">
                <a:lumMod val="60000"/>
                <a:lumOff val="40000"/>
              </a:schemeClr>
            </a:solidFill>
            <a:ln>
              <a:noFill/>
            </a:ln>
            <a:effectLst/>
          </c:spPr>
          <c:invertIfNegative val="0"/>
          <c:dPt>
            <c:idx val="0"/>
            <c:invertIfNegative val="0"/>
            <c:bubble3D val="0"/>
            <c:extLst>
              <c:ext xmlns:c16="http://schemas.microsoft.com/office/drawing/2014/chart" uri="{C3380CC4-5D6E-409C-BE32-E72D297353CC}">
                <c16:uniqueId val="{00000002-BE3F-47C6-8B59-9E5B14D9319F}"/>
              </c:ext>
            </c:extLst>
          </c:dPt>
          <c:dPt>
            <c:idx val="1"/>
            <c:invertIfNegative val="0"/>
            <c:bubble3D val="0"/>
            <c:extLst>
              <c:ext xmlns:c16="http://schemas.microsoft.com/office/drawing/2014/chart" uri="{C3380CC4-5D6E-409C-BE32-E72D297353CC}">
                <c16:uniqueId val="{00000003-BE3F-47C6-8B59-9E5B14D9319F}"/>
              </c:ext>
            </c:extLst>
          </c:dPt>
          <c:dPt>
            <c:idx val="2"/>
            <c:invertIfNegative val="0"/>
            <c:bubble3D val="0"/>
            <c:extLst>
              <c:ext xmlns:c16="http://schemas.microsoft.com/office/drawing/2014/chart" uri="{C3380CC4-5D6E-409C-BE32-E72D297353CC}">
                <c16:uniqueId val="{00000004-BE3F-47C6-8B59-9E5B14D9319F}"/>
              </c:ext>
            </c:extLst>
          </c:dPt>
          <c:dPt>
            <c:idx val="3"/>
            <c:invertIfNegative val="0"/>
            <c:bubble3D val="0"/>
            <c:extLst>
              <c:ext xmlns:c16="http://schemas.microsoft.com/office/drawing/2014/chart" uri="{C3380CC4-5D6E-409C-BE32-E72D297353CC}">
                <c16:uniqueId val="{00000005-BE3F-47C6-8B59-9E5B14D9319F}"/>
              </c:ext>
            </c:extLst>
          </c:dPt>
          <c:dPt>
            <c:idx val="4"/>
            <c:invertIfNegative val="0"/>
            <c:bubble3D val="0"/>
            <c:extLst>
              <c:ext xmlns:c16="http://schemas.microsoft.com/office/drawing/2014/chart" uri="{C3380CC4-5D6E-409C-BE32-E72D297353CC}">
                <c16:uniqueId val="{00000006-BE3F-47C6-8B59-9E5B14D9319F}"/>
              </c:ext>
            </c:extLst>
          </c:dPt>
          <c:dPt>
            <c:idx val="5"/>
            <c:invertIfNegative val="0"/>
            <c:bubble3D val="0"/>
            <c:extLst>
              <c:ext xmlns:c16="http://schemas.microsoft.com/office/drawing/2014/chart" uri="{C3380CC4-5D6E-409C-BE32-E72D297353CC}">
                <c16:uniqueId val="{00000007-BE3F-47C6-8B59-9E5B14D9319F}"/>
              </c:ext>
            </c:extLst>
          </c:dPt>
          <c:dPt>
            <c:idx val="6"/>
            <c:invertIfNegative val="0"/>
            <c:bubble3D val="0"/>
            <c:extLst>
              <c:ext xmlns:c16="http://schemas.microsoft.com/office/drawing/2014/chart" uri="{C3380CC4-5D6E-409C-BE32-E72D297353CC}">
                <c16:uniqueId val="{00000008-BE3F-47C6-8B59-9E5B14D9319F}"/>
              </c:ext>
            </c:extLst>
          </c:dPt>
          <c:dLbls>
            <c:spPr>
              <a:noFill/>
              <a:ln>
                <a:noFill/>
              </a:ln>
              <a:effectLst/>
            </c:spPr>
            <c:txPr>
              <a:bodyPr wrap="square" lIns="38100" tIns="19050" rIns="38100" bIns="19050" anchor="ctr">
                <a:spAutoFit/>
              </a:bodyPr>
              <a:lstStyle/>
              <a:p>
                <a:pPr>
                  <a:defRPr sz="1050">
                    <a:solidFill>
                      <a:schemeClr val="bg1"/>
                    </a:solidFill>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ext>
            </c:extLst>
          </c:dLbls>
          <c:cat>
            <c:strRef>
              <c:f>'Figure 4'!$E$4:$E$11</c:f>
              <c:strCache>
                <c:ptCount val="7"/>
                <c:pt idx="0">
                  <c:v>Gender</c:v>
                </c:pt>
                <c:pt idx="1">
                  <c:v>Age</c:v>
                </c:pt>
                <c:pt idx="2">
                  <c:v>Firm Size</c:v>
                </c:pt>
                <c:pt idx="3">
                  <c:v>Skill level</c:v>
                </c:pt>
                <c:pt idx="4">
                  <c:v>Labor Status</c:v>
                </c:pt>
                <c:pt idx="5">
                  <c:v>Urban</c:v>
                </c:pt>
                <c:pt idx="6">
                  <c:v>Sector</c:v>
                </c:pt>
              </c:strCache>
            </c:strRef>
          </c:cat>
          <c:val>
            <c:numRef>
              <c:f>'Figure 4'!$H$4:$H$11</c:f>
              <c:numCache>
                <c:formatCode>#,##0</c:formatCode>
                <c:ptCount val="7"/>
                <c:pt idx="4">
                  <c:v>18596310</c:v>
                </c:pt>
              </c:numCache>
            </c:numRef>
          </c:val>
          <c:extLst>
            <c:ext xmlns:c16="http://schemas.microsoft.com/office/drawing/2014/chart" uri="{C3380CC4-5D6E-409C-BE32-E72D297353CC}">
              <c16:uniqueId val="{00000009-BE3F-47C6-8B59-9E5B14D9319F}"/>
            </c:ext>
          </c:extLst>
        </c:ser>
        <c:ser>
          <c:idx val="3"/>
          <c:order val="3"/>
          <c:tx>
            <c:strRef>
              <c:f>'Figure 4'!$I$2:$I$3</c:f>
              <c:strCache>
                <c:ptCount val="1"/>
                <c:pt idx="0">
                  <c:v>High</c:v>
                </c:pt>
              </c:strCache>
            </c:strRef>
          </c:tx>
          <c:spPr>
            <a:solidFill>
              <a:schemeClr val="accent5"/>
            </a:solidFill>
            <a:ln>
              <a:noFill/>
            </a:ln>
            <a:effectLst/>
          </c:spPr>
          <c:invertIfNegative val="0"/>
          <c:dLbls>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ext>
            </c:extLst>
          </c:dLbls>
          <c:cat>
            <c:strRef>
              <c:f>'Figure 4'!$E$4:$E$11</c:f>
              <c:strCache>
                <c:ptCount val="7"/>
                <c:pt idx="0">
                  <c:v>Gender</c:v>
                </c:pt>
                <c:pt idx="1">
                  <c:v>Age</c:v>
                </c:pt>
                <c:pt idx="2">
                  <c:v>Firm Size</c:v>
                </c:pt>
                <c:pt idx="3">
                  <c:v>Skill level</c:v>
                </c:pt>
                <c:pt idx="4">
                  <c:v>Labor Status</c:v>
                </c:pt>
                <c:pt idx="5">
                  <c:v>Urban</c:v>
                </c:pt>
                <c:pt idx="6">
                  <c:v>Sector</c:v>
                </c:pt>
              </c:strCache>
            </c:strRef>
          </c:cat>
          <c:val>
            <c:numRef>
              <c:f>'Figure 4'!$I$4:$I$11</c:f>
              <c:numCache>
                <c:formatCode>#,##0</c:formatCode>
                <c:ptCount val="7"/>
                <c:pt idx="3">
                  <c:v>15198561</c:v>
                </c:pt>
              </c:numCache>
            </c:numRef>
          </c:val>
          <c:extLst>
            <c:ext xmlns:c16="http://schemas.microsoft.com/office/drawing/2014/chart" uri="{C3380CC4-5D6E-409C-BE32-E72D297353CC}">
              <c16:uniqueId val="{0000000A-BE3F-47C6-8B59-9E5B14D9319F}"/>
            </c:ext>
          </c:extLst>
        </c:ser>
        <c:ser>
          <c:idx val="4"/>
          <c:order val="4"/>
          <c:tx>
            <c:strRef>
              <c:f>'Figure 4'!$J$2:$J$3</c:f>
              <c:strCache>
                <c:ptCount val="1"/>
                <c:pt idx="0">
                  <c:v>Women</c:v>
                </c:pt>
              </c:strCache>
            </c:strRef>
          </c:tx>
          <c:spPr>
            <a:solidFill>
              <a:schemeClr val="accent5">
                <a:lumMod val="40000"/>
                <a:lumOff val="60000"/>
              </a:schemeClr>
            </a:solidFill>
            <a:ln>
              <a:noFill/>
            </a:ln>
            <a:effectLst/>
          </c:spPr>
          <c:invertIfNegative val="0"/>
          <c:dLbls>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ext>
            </c:extLst>
          </c:dLbls>
          <c:cat>
            <c:strRef>
              <c:f>'Figure 4'!$E$4:$E$11</c:f>
              <c:strCache>
                <c:ptCount val="7"/>
                <c:pt idx="0">
                  <c:v>Gender</c:v>
                </c:pt>
                <c:pt idx="1">
                  <c:v>Age</c:v>
                </c:pt>
                <c:pt idx="2">
                  <c:v>Firm Size</c:v>
                </c:pt>
                <c:pt idx="3">
                  <c:v>Skill level</c:v>
                </c:pt>
                <c:pt idx="4">
                  <c:v>Labor Status</c:v>
                </c:pt>
                <c:pt idx="5">
                  <c:v>Urban</c:v>
                </c:pt>
                <c:pt idx="6">
                  <c:v>Sector</c:v>
                </c:pt>
              </c:strCache>
            </c:strRef>
          </c:cat>
          <c:val>
            <c:numRef>
              <c:f>'Figure 4'!$J$4:$J$11</c:f>
              <c:numCache>
                <c:formatCode>#,##0</c:formatCode>
                <c:ptCount val="7"/>
                <c:pt idx="0">
                  <c:v>14157797</c:v>
                </c:pt>
              </c:numCache>
            </c:numRef>
          </c:val>
          <c:extLst>
            <c:ext xmlns:c16="http://schemas.microsoft.com/office/drawing/2014/chart" uri="{C3380CC4-5D6E-409C-BE32-E72D297353CC}">
              <c16:uniqueId val="{0000000B-BE3F-47C6-8B59-9E5B14D9319F}"/>
            </c:ext>
          </c:extLst>
        </c:ser>
        <c:ser>
          <c:idx val="5"/>
          <c:order val="5"/>
          <c:tx>
            <c:strRef>
              <c:f>'Figure 4'!$K$2:$K$3</c:f>
              <c:strCache>
                <c:ptCount val="1"/>
                <c:pt idx="0">
                  <c:v>Men</c:v>
                </c:pt>
              </c:strCache>
            </c:strRef>
          </c:tx>
          <c:spPr>
            <a:solidFill>
              <a:schemeClr val="accent5">
                <a:lumMod val="60000"/>
                <a:lumOff val="40000"/>
              </a:schemeClr>
            </a:solidFill>
            <a:ln>
              <a:noFill/>
            </a:ln>
            <a:effectLst/>
          </c:spPr>
          <c:invertIfNegative val="0"/>
          <c:dLbls>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ext>
            </c:extLst>
          </c:dLbls>
          <c:cat>
            <c:strRef>
              <c:f>'Figure 4'!$E$4:$E$11</c:f>
              <c:strCache>
                <c:ptCount val="7"/>
                <c:pt idx="0">
                  <c:v>Gender</c:v>
                </c:pt>
                <c:pt idx="1">
                  <c:v>Age</c:v>
                </c:pt>
                <c:pt idx="2">
                  <c:v>Firm Size</c:v>
                </c:pt>
                <c:pt idx="3">
                  <c:v>Skill level</c:v>
                </c:pt>
                <c:pt idx="4">
                  <c:v>Labor Status</c:v>
                </c:pt>
                <c:pt idx="5">
                  <c:v>Urban</c:v>
                </c:pt>
                <c:pt idx="6">
                  <c:v>Sector</c:v>
                </c:pt>
              </c:strCache>
            </c:strRef>
          </c:cat>
          <c:val>
            <c:numRef>
              <c:f>'Figure 4'!$K$4:$K$11</c:f>
              <c:numCache>
                <c:formatCode>#,##0</c:formatCode>
                <c:ptCount val="7"/>
                <c:pt idx="0">
                  <c:v>11940745</c:v>
                </c:pt>
              </c:numCache>
            </c:numRef>
          </c:val>
          <c:extLst>
            <c:ext xmlns:c16="http://schemas.microsoft.com/office/drawing/2014/chart" uri="{C3380CC4-5D6E-409C-BE32-E72D297353CC}">
              <c16:uniqueId val="{0000000C-BE3F-47C6-8B59-9E5B14D9319F}"/>
            </c:ext>
          </c:extLst>
        </c:ser>
        <c:ser>
          <c:idx val="6"/>
          <c:order val="6"/>
          <c:tx>
            <c:strRef>
              <c:f>'Figure 4'!$L$2:$L$3</c:f>
              <c:strCache>
                <c:ptCount val="1"/>
                <c:pt idx="0">
                  <c:v>Big</c:v>
                </c:pt>
              </c:strCache>
            </c:strRef>
          </c:tx>
          <c:spPr>
            <a:solidFill>
              <a:schemeClr val="accent5">
                <a:lumMod val="40000"/>
                <a:lumOff val="60000"/>
              </a:schemeClr>
            </a:solidFill>
            <a:ln>
              <a:noFill/>
            </a:ln>
            <a:effectLst/>
          </c:spPr>
          <c:invertIfNegative val="0"/>
          <c:dLbls>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ext>
            </c:extLst>
          </c:dLbls>
          <c:cat>
            <c:strRef>
              <c:f>'Figure 4'!$E$4:$E$11</c:f>
              <c:strCache>
                <c:ptCount val="7"/>
                <c:pt idx="0">
                  <c:v>Gender</c:v>
                </c:pt>
                <c:pt idx="1">
                  <c:v>Age</c:v>
                </c:pt>
                <c:pt idx="2">
                  <c:v>Firm Size</c:v>
                </c:pt>
                <c:pt idx="3">
                  <c:v>Skill level</c:v>
                </c:pt>
                <c:pt idx="4">
                  <c:v>Labor Status</c:v>
                </c:pt>
                <c:pt idx="5">
                  <c:v>Urban</c:v>
                </c:pt>
                <c:pt idx="6">
                  <c:v>Sector</c:v>
                </c:pt>
              </c:strCache>
            </c:strRef>
          </c:cat>
          <c:val>
            <c:numRef>
              <c:f>'Figure 4'!$L$4:$L$11</c:f>
              <c:numCache>
                <c:formatCode>#,##0</c:formatCode>
                <c:ptCount val="7"/>
                <c:pt idx="2">
                  <c:v>11071089</c:v>
                </c:pt>
              </c:numCache>
            </c:numRef>
          </c:val>
          <c:extLst>
            <c:ext xmlns:c16="http://schemas.microsoft.com/office/drawing/2014/chart" uri="{C3380CC4-5D6E-409C-BE32-E72D297353CC}">
              <c16:uniqueId val="{0000000D-BE3F-47C6-8B59-9E5B14D9319F}"/>
            </c:ext>
          </c:extLst>
        </c:ser>
        <c:ser>
          <c:idx val="7"/>
          <c:order val="7"/>
          <c:tx>
            <c:strRef>
              <c:f>'Figure 4'!$M$2:$M$3</c:f>
              <c:strCache>
                <c:ptCount val="1"/>
                <c:pt idx="0">
                  <c:v>25-44</c:v>
                </c:pt>
              </c:strCache>
            </c:strRef>
          </c:tx>
          <c:spPr>
            <a:solidFill>
              <a:schemeClr val="accent5">
                <a:lumMod val="40000"/>
                <a:lumOff val="60000"/>
              </a:schemeClr>
            </a:solidFill>
            <a:ln>
              <a:noFill/>
            </a:ln>
            <a:effectLst/>
          </c:spPr>
          <c:invertIfNegative val="0"/>
          <c:dLbls>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ext>
            </c:extLst>
          </c:dLbls>
          <c:cat>
            <c:strRef>
              <c:f>'Figure 4'!$E$4:$E$11</c:f>
              <c:strCache>
                <c:ptCount val="7"/>
                <c:pt idx="0">
                  <c:v>Gender</c:v>
                </c:pt>
                <c:pt idx="1">
                  <c:v>Age</c:v>
                </c:pt>
                <c:pt idx="2">
                  <c:v>Firm Size</c:v>
                </c:pt>
                <c:pt idx="3">
                  <c:v>Skill level</c:v>
                </c:pt>
                <c:pt idx="4">
                  <c:v>Labor Status</c:v>
                </c:pt>
                <c:pt idx="5">
                  <c:v>Urban</c:v>
                </c:pt>
                <c:pt idx="6">
                  <c:v>Sector</c:v>
                </c:pt>
              </c:strCache>
            </c:strRef>
          </c:cat>
          <c:val>
            <c:numRef>
              <c:f>'Figure 4'!$M$4:$M$11</c:f>
              <c:numCache>
                <c:formatCode>#,##0</c:formatCode>
                <c:ptCount val="7"/>
                <c:pt idx="1">
                  <c:v>10692196</c:v>
                </c:pt>
              </c:numCache>
            </c:numRef>
          </c:val>
          <c:extLst>
            <c:ext xmlns:c16="http://schemas.microsoft.com/office/drawing/2014/chart" uri="{C3380CC4-5D6E-409C-BE32-E72D297353CC}">
              <c16:uniqueId val="{0000000E-BE3F-47C6-8B59-9E5B14D9319F}"/>
            </c:ext>
          </c:extLst>
        </c:ser>
        <c:ser>
          <c:idx val="8"/>
          <c:order val="8"/>
          <c:tx>
            <c:strRef>
              <c:f>'Figure 4'!$N$2:$N$3</c:f>
              <c:strCache>
                <c:ptCount val="1"/>
                <c:pt idx="0">
                  <c:v>Retail and Wholesale Trade, Restaurants, Hotels, Repairs</c:v>
                </c:pt>
              </c:strCache>
            </c:strRef>
          </c:tx>
          <c:spPr>
            <a:solidFill>
              <a:schemeClr val="accent5">
                <a:lumMod val="50000"/>
              </a:schemeClr>
            </a:solidFill>
            <a:ln>
              <a:noFill/>
            </a:ln>
            <a:effectLst/>
          </c:spPr>
          <c:invertIfNegative val="0"/>
          <c:dLbls>
            <c:dLbl>
              <c:idx val="6"/>
              <c:layout>
                <c:manualLayout>
                  <c:x val="7.9180796014566665E-2"/>
                  <c:y val="3.3644284748440812E-3"/>
                </c:manualLayout>
              </c:layout>
              <c:spPr>
                <a:noFill/>
                <a:ln>
                  <a:noFill/>
                </a:ln>
                <a:effectLst/>
              </c:spPr>
              <c:txPr>
                <a:bodyPr wrap="square" lIns="38100" tIns="19050" rIns="38100" bIns="19050" anchor="ctr">
                  <a:noAutofit/>
                </a:bodyPr>
                <a:lstStyle/>
                <a:p>
                  <a:pPr>
                    <a:defRPr>
                      <a:solidFill>
                        <a:schemeClr val="tx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15:layout>
                    <c:manualLayout>
                      <c:w val="0.10962399168494691"/>
                      <c:h val="6.6394761430882937E-2"/>
                    </c:manualLayout>
                  </c15:layout>
                </c:ext>
                <c:ext xmlns:c16="http://schemas.microsoft.com/office/drawing/2014/chart" uri="{C3380CC4-5D6E-409C-BE32-E72D297353CC}">
                  <c16:uniqueId val="{0000000F-BE3F-47C6-8B59-9E5B14D9319F}"/>
                </c:ext>
              </c:extLst>
            </c:dLbl>
            <c:spPr>
              <a:noFill/>
              <a:ln>
                <a:noFill/>
              </a:ln>
              <a:effectLst/>
            </c:spPr>
            <c:txPr>
              <a:bodyPr wrap="square" lIns="38100" tIns="19050" rIns="38100" bIns="19050" anchor="ctr">
                <a:spAutoFit/>
              </a:bodyPr>
              <a:lstStyle/>
              <a:p>
                <a:pPr>
                  <a:defRPr>
                    <a:solidFill>
                      <a:schemeClr val="tx1"/>
                    </a:solidFill>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ext>
            </c:extLst>
          </c:dLbls>
          <c:cat>
            <c:strRef>
              <c:f>'Figure 4'!$E$4:$E$11</c:f>
              <c:strCache>
                <c:ptCount val="7"/>
                <c:pt idx="0">
                  <c:v>Gender</c:v>
                </c:pt>
                <c:pt idx="1">
                  <c:v>Age</c:v>
                </c:pt>
                <c:pt idx="2">
                  <c:v>Firm Size</c:v>
                </c:pt>
                <c:pt idx="3">
                  <c:v>Skill level</c:v>
                </c:pt>
                <c:pt idx="4">
                  <c:v>Labor Status</c:v>
                </c:pt>
                <c:pt idx="5">
                  <c:v>Urban</c:v>
                </c:pt>
                <c:pt idx="6">
                  <c:v>Sector</c:v>
                </c:pt>
              </c:strCache>
            </c:strRef>
          </c:cat>
          <c:val>
            <c:numRef>
              <c:f>'Figure 4'!$N$4:$N$11</c:f>
              <c:numCache>
                <c:formatCode>#,##0</c:formatCode>
                <c:ptCount val="7"/>
                <c:pt idx="6">
                  <c:v>7950967</c:v>
                </c:pt>
              </c:numCache>
            </c:numRef>
          </c:val>
          <c:extLst>
            <c:ext xmlns:c16="http://schemas.microsoft.com/office/drawing/2014/chart" uri="{C3380CC4-5D6E-409C-BE32-E72D297353CC}">
              <c16:uniqueId val="{00000010-BE3F-47C6-8B59-9E5B14D9319F}"/>
            </c:ext>
          </c:extLst>
        </c:ser>
        <c:ser>
          <c:idx val="9"/>
          <c:order val="9"/>
          <c:tx>
            <c:strRef>
              <c:f>'Figure 4'!$O$2:$O$3</c:f>
              <c:strCache>
                <c:ptCount val="1"/>
                <c:pt idx="0">
                  <c:v>Small</c:v>
                </c:pt>
              </c:strCache>
            </c:strRef>
          </c:tx>
          <c:spPr>
            <a:solidFill>
              <a:schemeClr val="accent5">
                <a:lumMod val="60000"/>
                <a:lumOff val="40000"/>
              </a:schemeClr>
            </a:solidFill>
            <a:ln>
              <a:noFill/>
            </a:ln>
            <a:effectLst/>
          </c:spPr>
          <c:invertIfNegative val="0"/>
          <c:dLbls>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ext>
            </c:extLst>
          </c:dLbls>
          <c:cat>
            <c:strRef>
              <c:f>'Figure 4'!$E$4:$E$11</c:f>
              <c:strCache>
                <c:ptCount val="7"/>
                <c:pt idx="0">
                  <c:v>Gender</c:v>
                </c:pt>
                <c:pt idx="1">
                  <c:v>Age</c:v>
                </c:pt>
                <c:pt idx="2">
                  <c:v>Firm Size</c:v>
                </c:pt>
                <c:pt idx="3">
                  <c:v>Skill level</c:v>
                </c:pt>
                <c:pt idx="4">
                  <c:v>Labor Status</c:v>
                </c:pt>
                <c:pt idx="5">
                  <c:v>Urban</c:v>
                </c:pt>
                <c:pt idx="6">
                  <c:v>Sector</c:v>
                </c:pt>
              </c:strCache>
            </c:strRef>
          </c:cat>
          <c:val>
            <c:numRef>
              <c:f>'Figure 4'!$O$4:$O$11</c:f>
              <c:numCache>
                <c:formatCode>#,##0</c:formatCode>
                <c:ptCount val="7"/>
                <c:pt idx="2">
                  <c:v>7897949</c:v>
                </c:pt>
              </c:numCache>
            </c:numRef>
          </c:val>
          <c:extLst>
            <c:ext xmlns:c16="http://schemas.microsoft.com/office/drawing/2014/chart" uri="{C3380CC4-5D6E-409C-BE32-E72D297353CC}">
              <c16:uniqueId val="{00000011-BE3F-47C6-8B59-9E5B14D9319F}"/>
            </c:ext>
          </c:extLst>
        </c:ser>
        <c:ser>
          <c:idx val="10"/>
          <c:order val="10"/>
          <c:tx>
            <c:strRef>
              <c:f>'Figure 4'!$P$2:$P$3</c:f>
              <c:strCache>
                <c:ptCount val="1"/>
                <c:pt idx="0">
                  <c:v>Self-employed</c:v>
                </c:pt>
              </c:strCache>
            </c:strRef>
          </c:tx>
          <c:spPr>
            <a:solidFill>
              <a:schemeClr val="accent5"/>
            </a:solidFill>
            <a:ln>
              <a:noFill/>
            </a:ln>
            <a:effectLst/>
          </c:spPr>
          <c:invertIfNegative val="0"/>
          <c:dLbls>
            <c:dLbl>
              <c:idx val="4"/>
              <c:spPr>
                <a:noFill/>
                <a:ln>
                  <a:noFill/>
                </a:ln>
                <a:effectLst/>
              </c:spPr>
              <c:txPr>
                <a:bodyPr wrap="square" lIns="38100" tIns="19050" rIns="38100" bIns="19050" anchor="ctr">
                  <a:noAutofit/>
                </a:bodyPr>
                <a:lstStyle/>
                <a:p>
                  <a:pPr>
                    <a:defRPr sz="1050">
                      <a:solidFill>
                        <a:schemeClr val="bg1"/>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15:layout>
                    <c:manualLayout>
                      <c:w val="5.2300777193057112E-2"/>
                      <c:h val="8.0261789850914256E-2"/>
                    </c:manualLayout>
                  </c15:layout>
                </c:ext>
                <c:ext xmlns:c16="http://schemas.microsoft.com/office/drawing/2014/chart" uri="{C3380CC4-5D6E-409C-BE32-E72D297353CC}">
                  <c16:uniqueId val="{00000012-BE3F-47C6-8B59-9E5B14D9319F}"/>
                </c:ext>
              </c:extLst>
            </c:dLbl>
            <c:spPr>
              <a:noFill/>
              <a:ln>
                <a:noFill/>
              </a:ln>
              <a:effectLst/>
            </c:spPr>
            <c:txPr>
              <a:bodyPr wrap="square" lIns="38100" tIns="19050" rIns="38100" bIns="19050" anchor="ctr">
                <a:spAutoFit/>
              </a:bodyPr>
              <a:lstStyle/>
              <a:p>
                <a:pPr>
                  <a:defRPr sz="1050">
                    <a:solidFill>
                      <a:schemeClr val="bg1"/>
                    </a:solidFill>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ext>
            </c:extLst>
          </c:dLbls>
          <c:cat>
            <c:strRef>
              <c:f>'Figure 4'!$E$4:$E$11</c:f>
              <c:strCache>
                <c:ptCount val="7"/>
                <c:pt idx="0">
                  <c:v>Gender</c:v>
                </c:pt>
                <c:pt idx="1">
                  <c:v>Age</c:v>
                </c:pt>
                <c:pt idx="2">
                  <c:v>Firm Size</c:v>
                </c:pt>
                <c:pt idx="3">
                  <c:v>Skill level</c:v>
                </c:pt>
                <c:pt idx="4">
                  <c:v>Labor Status</c:v>
                </c:pt>
                <c:pt idx="5">
                  <c:v>Urban</c:v>
                </c:pt>
                <c:pt idx="6">
                  <c:v>Sector</c:v>
                </c:pt>
              </c:strCache>
            </c:strRef>
          </c:cat>
          <c:val>
            <c:numRef>
              <c:f>'Figure 4'!$P$4:$P$11</c:f>
              <c:numCache>
                <c:formatCode>#,##0</c:formatCode>
                <c:ptCount val="7"/>
                <c:pt idx="4">
                  <c:v>7367341</c:v>
                </c:pt>
              </c:numCache>
            </c:numRef>
          </c:val>
          <c:extLst>
            <c:ext xmlns:c16="http://schemas.microsoft.com/office/drawing/2014/chart" uri="{C3380CC4-5D6E-409C-BE32-E72D297353CC}">
              <c16:uniqueId val="{00000013-BE3F-47C6-8B59-9E5B14D9319F}"/>
            </c:ext>
          </c:extLst>
        </c:ser>
        <c:ser>
          <c:idx val="11"/>
          <c:order val="11"/>
          <c:tx>
            <c:strRef>
              <c:f>'Figure 4'!$Q$2:$Q$3</c:f>
              <c:strCache>
                <c:ptCount val="1"/>
                <c:pt idx="0">
                  <c:v>Education, Health, Personal Services</c:v>
                </c:pt>
              </c:strCache>
            </c:strRef>
          </c:tx>
          <c:spPr>
            <a:solidFill>
              <a:schemeClr val="accent5">
                <a:lumMod val="40000"/>
                <a:lumOff val="60000"/>
              </a:schemeClr>
            </a:solidFill>
            <a:ln>
              <a:noFill/>
            </a:ln>
            <a:effectLst/>
          </c:spPr>
          <c:invertIfNegative val="0"/>
          <c:dLbls>
            <c:dLbl>
              <c:idx val="6"/>
              <c:layout>
                <c:manualLayout>
                  <c:x val="7.0517394857299576E-2"/>
                  <c:y val="1.4659491460605609E-2"/>
                </c:manualLayout>
              </c:layout>
              <c:spPr>
                <a:noFill/>
                <a:ln>
                  <a:noFill/>
                </a:ln>
                <a:effectLst/>
              </c:spPr>
              <c:txPr>
                <a:bodyPr wrap="square" lIns="38100" tIns="19050" rIns="38100" bIns="19050" anchor="ctr" anchorCtr="0">
                  <a:noAutofit/>
                </a:bodyPr>
                <a:lstStyle/>
                <a:p>
                  <a:pPr algn="l">
                    <a:defRPr/>
                  </a:pPr>
                  <a:endParaRPr lang="en-US"/>
                </a:p>
              </c:txPr>
              <c:dLblPos val="ctr"/>
              <c:showLegendKey val="0"/>
              <c:showVal val="0"/>
              <c:showCatName val="0"/>
              <c:showSerName val="1"/>
              <c:showPercent val="0"/>
              <c:showBubbleSize val="0"/>
              <c:extLst>
                <c:ext xmlns:c15="http://schemas.microsoft.com/office/drawing/2012/chart" uri="{CE6537A1-D6FC-4f65-9D91-7224C49458BB}">
                  <c15:layout>
                    <c:manualLayout>
                      <c:w val="8.6190008430617276E-2"/>
                      <c:h val="6.9858324660624874E-2"/>
                    </c:manualLayout>
                  </c15:layout>
                </c:ext>
                <c:ext xmlns:c16="http://schemas.microsoft.com/office/drawing/2014/chart" uri="{C3380CC4-5D6E-409C-BE32-E72D297353CC}">
                  <c16:uniqueId val="{00000014-BE3F-47C6-8B59-9E5B14D9319F}"/>
                </c:ext>
              </c:extLst>
            </c:dLbl>
            <c:spPr>
              <a:noFill/>
              <a:ln>
                <a:noFill/>
              </a:ln>
              <a:effectLst/>
            </c:spPr>
            <c:txPr>
              <a:bodyPr wrap="square" lIns="38100" tIns="19050" rIns="38100" bIns="19050" anchor="ctr">
                <a:spAutoFit/>
              </a:bodyPr>
              <a:lstStyle/>
              <a:p>
                <a:pPr>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ext>
            </c:extLst>
          </c:dLbls>
          <c:cat>
            <c:strRef>
              <c:f>'Figure 4'!$E$4:$E$11</c:f>
              <c:strCache>
                <c:ptCount val="7"/>
                <c:pt idx="0">
                  <c:v>Gender</c:v>
                </c:pt>
                <c:pt idx="1">
                  <c:v>Age</c:v>
                </c:pt>
                <c:pt idx="2">
                  <c:v>Firm Size</c:v>
                </c:pt>
                <c:pt idx="3">
                  <c:v>Skill level</c:v>
                </c:pt>
                <c:pt idx="4">
                  <c:v>Labor Status</c:v>
                </c:pt>
                <c:pt idx="5">
                  <c:v>Urban</c:v>
                </c:pt>
                <c:pt idx="6">
                  <c:v>Sector</c:v>
                </c:pt>
              </c:strCache>
            </c:strRef>
          </c:cat>
          <c:val>
            <c:numRef>
              <c:f>'Figure 4'!$Q$4:$Q$11</c:f>
              <c:numCache>
                <c:formatCode>#,##0</c:formatCode>
                <c:ptCount val="7"/>
                <c:pt idx="6">
                  <c:v>7337292</c:v>
                </c:pt>
              </c:numCache>
            </c:numRef>
          </c:val>
          <c:extLst>
            <c:ext xmlns:c16="http://schemas.microsoft.com/office/drawing/2014/chart" uri="{C3380CC4-5D6E-409C-BE32-E72D297353CC}">
              <c16:uniqueId val="{00000015-BE3F-47C6-8B59-9E5B14D9319F}"/>
            </c:ext>
          </c:extLst>
        </c:ser>
        <c:ser>
          <c:idx val="12"/>
          <c:order val="12"/>
          <c:tx>
            <c:strRef>
              <c:f>'Figure 4'!$R$2:$R$3</c:f>
              <c:strCache>
                <c:ptCount val="1"/>
                <c:pt idx="0">
                  <c:v> 45-54</c:v>
                </c:pt>
              </c:strCache>
            </c:strRef>
          </c:tx>
          <c:spPr>
            <a:solidFill>
              <a:schemeClr val="accent5">
                <a:lumMod val="60000"/>
                <a:lumOff val="40000"/>
              </a:schemeClr>
            </a:solidFill>
            <a:ln>
              <a:noFill/>
            </a:ln>
            <a:effectLst/>
          </c:spPr>
          <c:invertIfNegative val="0"/>
          <c:dLbls>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ext>
            </c:extLst>
          </c:dLbls>
          <c:cat>
            <c:strRef>
              <c:f>'Figure 4'!$E$4:$E$11</c:f>
              <c:strCache>
                <c:ptCount val="7"/>
                <c:pt idx="0">
                  <c:v>Gender</c:v>
                </c:pt>
                <c:pt idx="1">
                  <c:v>Age</c:v>
                </c:pt>
                <c:pt idx="2">
                  <c:v>Firm Size</c:v>
                </c:pt>
                <c:pt idx="3">
                  <c:v>Skill level</c:v>
                </c:pt>
                <c:pt idx="4">
                  <c:v>Labor Status</c:v>
                </c:pt>
                <c:pt idx="5">
                  <c:v>Urban</c:v>
                </c:pt>
                <c:pt idx="6">
                  <c:v>Sector</c:v>
                </c:pt>
              </c:strCache>
            </c:strRef>
          </c:cat>
          <c:val>
            <c:numRef>
              <c:f>'Figure 4'!$R$4:$R$11</c:f>
              <c:numCache>
                <c:formatCode>#,##0</c:formatCode>
                <c:ptCount val="7"/>
                <c:pt idx="1">
                  <c:v>6862143</c:v>
                </c:pt>
              </c:numCache>
            </c:numRef>
          </c:val>
          <c:extLst>
            <c:ext xmlns:c16="http://schemas.microsoft.com/office/drawing/2014/chart" uri="{C3380CC4-5D6E-409C-BE32-E72D297353CC}">
              <c16:uniqueId val="{00000016-BE3F-47C6-8B59-9E5B14D9319F}"/>
            </c:ext>
          </c:extLst>
        </c:ser>
        <c:ser>
          <c:idx val="13"/>
          <c:order val="13"/>
          <c:tx>
            <c:strRef>
              <c:f>'Figure 4'!$S$2:$S$3</c:f>
              <c:strCache>
                <c:ptCount val="1"/>
                <c:pt idx="0">
                  <c:v>55-64</c:v>
                </c:pt>
              </c:strCache>
            </c:strRef>
          </c:tx>
          <c:spPr>
            <a:solidFill>
              <a:schemeClr val="accent5"/>
            </a:solidFill>
            <a:ln>
              <a:noFill/>
            </a:ln>
            <a:effectLst/>
          </c:spPr>
          <c:invertIfNegative val="0"/>
          <c:dLbls>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ext>
            </c:extLst>
          </c:dLbls>
          <c:cat>
            <c:strRef>
              <c:f>'Figure 4'!$E$4:$E$11</c:f>
              <c:strCache>
                <c:ptCount val="7"/>
                <c:pt idx="0">
                  <c:v>Gender</c:v>
                </c:pt>
                <c:pt idx="1">
                  <c:v>Age</c:v>
                </c:pt>
                <c:pt idx="2">
                  <c:v>Firm Size</c:v>
                </c:pt>
                <c:pt idx="3">
                  <c:v>Skill level</c:v>
                </c:pt>
                <c:pt idx="4">
                  <c:v>Labor Status</c:v>
                </c:pt>
                <c:pt idx="5">
                  <c:v>Urban</c:v>
                </c:pt>
                <c:pt idx="6">
                  <c:v>Sector</c:v>
                </c:pt>
              </c:strCache>
            </c:strRef>
          </c:cat>
          <c:val>
            <c:numRef>
              <c:f>'Figure 4'!$S$4:$S$11</c:f>
              <c:numCache>
                <c:formatCode>#,##0</c:formatCode>
                <c:ptCount val="7"/>
                <c:pt idx="1">
                  <c:v>5799377</c:v>
                </c:pt>
              </c:numCache>
            </c:numRef>
          </c:val>
          <c:extLst>
            <c:ext xmlns:c16="http://schemas.microsoft.com/office/drawing/2014/chart" uri="{C3380CC4-5D6E-409C-BE32-E72D297353CC}">
              <c16:uniqueId val="{00000017-BE3F-47C6-8B59-9E5B14D9319F}"/>
            </c:ext>
          </c:extLst>
        </c:ser>
        <c:ser>
          <c:idx val="14"/>
          <c:order val="14"/>
          <c:tx>
            <c:strRef>
              <c:f>'Figure 4'!$T$2:$T$3</c:f>
              <c:strCache>
                <c:ptCount val="1"/>
                <c:pt idx="0">
                  <c:v>Banks, Finance, Insurance, Professional Services</c:v>
                </c:pt>
              </c:strCache>
            </c:strRef>
          </c:tx>
          <c:spPr>
            <a:solidFill>
              <a:srgbClr val="FFCCFF"/>
            </a:solidFill>
            <a:ln>
              <a:noFill/>
            </a:ln>
            <a:effectLst/>
          </c:spPr>
          <c:invertIfNegative val="0"/>
          <c:dLbls>
            <c:dLbl>
              <c:idx val="6"/>
              <c:layout>
                <c:manualLayout>
                  <c:x val="8.6659400973663064E-2"/>
                  <c:y val="1.4424296750962861E-2"/>
                </c:manualLayout>
              </c:layout>
              <c:spPr>
                <a:noFill/>
                <a:ln>
                  <a:noFill/>
                </a:ln>
                <a:effectLst/>
              </c:spPr>
              <c:txPr>
                <a:bodyPr wrap="square" lIns="38100" tIns="19050" rIns="38100" bIns="19050" anchor="ctr" anchorCtr="0">
                  <a:noAutofit/>
                </a:bodyPr>
                <a:lstStyle/>
                <a:p>
                  <a:pPr algn="l">
                    <a:defRPr/>
                  </a:pPr>
                  <a:endParaRPr lang="en-US"/>
                </a:p>
              </c:txPr>
              <c:dLblPos val="ctr"/>
              <c:showLegendKey val="0"/>
              <c:showVal val="0"/>
              <c:showCatName val="0"/>
              <c:showSerName val="1"/>
              <c:showPercent val="0"/>
              <c:showBubbleSize val="0"/>
              <c:extLst>
                <c:ext xmlns:c15="http://schemas.microsoft.com/office/drawing/2012/chart" uri="{CE6537A1-D6FC-4f65-9D91-7224C49458BB}">
                  <c15:layout>
                    <c:manualLayout>
                      <c:w val="0.12137861129424245"/>
                      <c:h val="7.7576402130067834E-2"/>
                    </c:manualLayout>
                  </c15:layout>
                </c:ext>
                <c:ext xmlns:c16="http://schemas.microsoft.com/office/drawing/2014/chart" uri="{C3380CC4-5D6E-409C-BE32-E72D297353CC}">
                  <c16:uniqueId val="{00000018-BE3F-47C6-8B59-9E5B14D9319F}"/>
                </c:ext>
              </c:extLst>
            </c:dLbl>
            <c:spPr>
              <a:noFill/>
              <a:ln>
                <a:noFill/>
              </a:ln>
              <a:effectLst/>
            </c:spPr>
            <c:txPr>
              <a:bodyPr wrap="square" lIns="38100" tIns="19050" rIns="38100" bIns="19050" anchor="ctr" anchorCtr="0">
                <a:spAutoFit/>
              </a:bodyPr>
              <a:lstStyle/>
              <a:p>
                <a:pPr algn="l">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ext>
            </c:extLst>
          </c:dLbls>
          <c:cat>
            <c:strRef>
              <c:f>'Figure 4'!$E$4:$E$11</c:f>
              <c:strCache>
                <c:ptCount val="7"/>
                <c:pt idx="0">
                  <c:v>Gender</c:v>
                </c:pt>
                <c:pt idx="1">
                  <c:v>Age</c:v>
                </c:pt>
                <c:pt idx="2">
                  <c:v>Firm Size</c:v>
                </c:pt>
                <c:pt idx="3">
                  <c:v>Skill level</c:v>
                </c:pt>
                <c:pt idx="4">
                  <c:v>Labor Status</c:v>
                </c:pt>
                <c:pt idx="5">
                  <c:v>Urban</c:v>
                </c:pt>
                <c:pt idx="6">
                  <c:v>Sector</c:v>
                </c:pt>
              </c:strCache>
            </c:strRef>
          </c:cat>
          <c:val>
            <c:numRef>
              <c:f>'Figure 4'!$T$4:$T$11</c:f>
              <c:numCache>
                <c:formatCode>#,##0</c:formatCode>
                <c:ptCount val="7"/>
                <c:pt idx="6">
                  <c:v>4634842</c:v>
                </c:pt>
              </c:numCache>
            </c:numRef>
          </c:val>
          <c:extLst>
            <c:ext xmlns:c16="http://schemas.microsoft.com/office/drawing/2014/chart" uri="{C3380CC4-5D6E-409C-BE32-E72D297353CC}">
              <c16:uniqueId val="{00000019-BE3F-47C6-8B59-9E5B14D9319F}"/>
            </c:ext>
          </c:extLst>
        </c:ser>
        <c:ser>
          <c:idx val="15"/>
          <c:order val="15"/>
          <c:tx>
            <c:strRef>
              <c:f>'Figure 4'!$U$2:$U$3</c:f>
              <c:strCache>
                <c:ptCount val="1"/>
                <c:pt idx="0">
                  <c:v>Public</c:v>
                </c:pt>
              </c:strCache>
            </c:strRef>
          </c:tx>
          <c:spPr>
            <a:solidFill>
              <a:schemeClr val="accent5"/>
            </a:solidFill>
            <a:ln>
              <a:noFill/>
            </a:ln>
            <a:effectLst/>
          </c:spPr>
          <c:invertIfNegative val="0"/>
          <c:dLbls>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ext>
            </c:extLst>
          </c:dLbls>
          <c:cat>
            <c:strRef>
              <c:f>'Figure 4'!$E$4:$E$11</c:f>
              <c:strCache>
                <c:ptCount val="7"/>
                <c:pt idx="0">
                  <c:v>Gender</c:v>
                </c:pt>
                <c:pt idx="1">
                  <c:v>Age</c:v>
                </c:pt>
                <c:pt idx="2">
                  <c:v>Firm Size</c:v>
                </c:pt>
                <c:pt idx="3">
                  <c:v>Skill level</c:v>
                </c:pt>
                <c:pt idx="4">
                  <c:v>Labor Status</c:v>
                </c:pt>
                <c:pt idx="5">
                  <c:v>Urban</c:v>
                </c:pt>
                <c:pt idx="6">
                  <c:v>Sector</c:v>
                </c:pt>
              </c:strCache>
            </c:strRef>
          </c:cat>
          <c:val>
            <c:numRef>
              <c:f>'Figure 4'!$U$4:$U$11</c:f>
              <c:numCache>
                <c:formatCode>#,##0</c:formatCode>
                <c:ptCount val="7"/>
                <c:pt idx="2">
                  <c:v>3447003</c:v>
                </c:pt>
              </c:numCache>
            </c:numRef>
          </c:val>
          <c:extLst>
            <c:ext xmlns:c16="http://schemas.microsoft.com/office/drawing/2014/chart" uri="{C3380CC4-5D6E-409C-BE32-E72D297353CC}">
              <c16:uniqueId val="{0000001A-BE3F-47C6-8B59-9E5B14D9319F}"/>
            </c:ext>
          </c:extLst>
        </c:ser>
        <c:ser>
          <c:idx val="16"/>
          <c:order val="16"/>
          <c:tx>
            <c:strRef>
              <c:f>'Figure 4'!$V$2:$V$3</c:f>
              <c:strCache>
                <c:ptCount val="1"/>
                <c:pt idx="0">
                  <c:v>Electricity, Gas, Water, Transport, Communications</c:v>
                </c:pt>
              </c:strCache>
            </c:strRef>
          </c:tx>
          <c:spPr>
            <a:solidFill>
              <a:schemeClr val="accent5">
                <a:lumMod val="60000"/>
                <a:lumOff val="40000"/>
              </a:schemeClr>
            </a:solidFill>
            <a:ln>
              <a:noFill/>
            </a:ln>
            <a:effectLst/>
          </c:spPr>
          <c:invertIfNegative val="0"/>
          <c:dLbls>
            <c:dLbl>
              <c:idx val="6"/>
              <c:layout>
                <c:manualLayout>
                  <c:x val="8.7281427512708537E-2"/>
                  <c:y val="3.7861567514911472E-3"/>
                </c:manualLayout>
              </c:layout>
              <c:spPr>
                <a:noFill/>
                <a:ln>
                  <a:noFill/>
                </a:ln>
                <a:effectLst/>
              </c:spPr>
              <c:txPr>
                <a:bodyPr wrap="square" lIns="38100" tIns="19050" rIns="38100" bIns="19050" anchor="ctr" anchorCtr="0">
                  <a:noAutofit/>
                </a:bodyPr>
                <a:lstStyle/>
                <a:p>
                  <a:pPr algn="l">
                    <a:defRPr/>
                  </a:pPr>
                  <a:endParaRPr lang="en-US"/>
                </a:p>
              </c:txPr>
              <c:dLblPos val="ctr"/>
              <c:showLegendKey val="0"/>
              <c:showVal val="0"/>
              <c:showCatName val="0"/>
              <c:showSerName val="1"/>
              <c:showPercent val="0"/>
              <c:showBubbleSize val="0"/>
              <c:extLst>
                <c:ext xmlns:c15="http://schemas.microsoft.com/office/drawing/2012/chart" uri="{CE6537A1-D6FC-4f65-9D91-7224C49458BB}">
                  <c15:layout>
                    <c:manualLayout>
                      <c:w val="0.12548922104568361"/>
                      <c:h val="8.6052682581130788E-2"/>
                    </c:manualLayout>
                  </c15:layout>
                </c:ext>
                <c:ext xmlns:c16="http://schemas.microsoft.com/office/drawing/2014/chart" uri="{C3380CC4-5D6E-409C-BE32-E72D297353CC}">
                  <c16:uniqueId val="{0000001B-BE3F-47C6-8B59-9E5B14D9319F}"/>
                </c:ext>
              </c:extLst>
            </c:dLbl>
            <c:spPr>
              <a:noFill/>
              <a:ln>
                <a:noFill/>
              </a:ln>
              <a:effectLst/>
            </c:spPr>
            <c:txPr>
              <a:bodyPr wrap="square" lIns="38100" tIns="19050" rIns="38100" bIns="19050" anchor="ctr" anchorCtr="0">
                <a:spAutoFit/>
              </a:bodyPr>
              <a:lstStyle/>
              <a:p>
                <a:pPr algn="l">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ext>
            </c:extLst>
          </c:dLbls>
          <c:cat>
            <c:strRef>
              <c:f>'Figure 4'!$E$4:$E$11</c:f>
              <c:strCache>
                <c:ptCount val="7"/>
                <c:pt idx="0">
                  <c:v>Gender</c:v>
                </c:pt>
                <c:pt idx="1">
                  <c:v>Age</c:v>
                </c:pt>
                <c:pt idx="2">
                  <c:v>Firm Size</c:v>
                </c:pt>
                <c:pt idx="3">
                  <c:v>Skill level</c:v>
                </c:pt>
                <c:pt idx="4">
                  <c:v>Labor Status</c:v>
                </c:pt>
                <c:pt idx="5">
                  <c:v>Urban</c:v>
                </c:pt>
                <c:pt idx="6">
                  <c:v>Sector</c:v>
                </c:pt>
              </c:strCache>
            </c:strRef>
          </c:cat>
          <c:val>
            <c:numRef>
              <c:f>'Figure 4'!$V$4:$V$11</c:f>
              <c:numCache>
                <c:formatCode>#,##0</c:formatCode>
                <c:ptCount val="7"/>
                <c:pt idx="6">
                  <c:v>3310643</c:v>
                </c:pt>
              </c:numCache>
            </c:numRef>
          </c:val>
          <c:extLst>
            <c:ext xmlns:c16="http://schemas.microsoft.com/office/drawing/2014/chart" uri="{C3380CC4-5D6E-409C-BE32-E72D297353CC}">
              <c16:uniqueId val="{0000001C-BE3F-47C6-8B59-9E5B14D9319F}"/>
            </c:ext>
          </c:extLst>
        </c:ser>
        <c:ser>
          <c:idx val="17"/>
          <c:order val="17"/>
          <c:tx>
            <c:strRef>
              <c:f>'Figure 4'!$W$2:$W$3</c:f>
              <c:strCache>
                <c:ptCount val="1"/>
                <c:pt idx="0">
                  <c:v>Industry</c:v>
                </c:pt>
              </c:strCache>
            </c:strRef>
          </c:tx>
          <c:spPr>
            <a:solidFill>
              <a:schemeClr val="accent5"/>
            </a:solidFill>
            <a:ln>
              <a:noFill/>
            </a:ln>
            <a:effectLst/>
          </c:spPr>
          <c:invertIfNegative val="0"/>
          <c:dLbls>
            <c:dLbl>
              <c:idx val="6"/>
              <c:layout>
                <c:manualLayout>
                  <c:x val="4.4091989103549008E-2"/>
                  <c:y val="7.576933887373803E-3"/>
                </c:manualLayout>
              </c:layout>
              <c:dLblPos val="ct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D-BE3F-47C6-8B59-9E5B14D9319F}"/>
                </c:ext>
              </c:extLst>
            </c:dLbl>
            <c:spPr>
              <a:noFill/>
              <a:ln>
                <a:noFill/>
              </a:ln>
              <a:effectLst/>
            </c:spPr>
            <c:txPr>
              <a:bodyPr wrap="square" lIns="38100" tIns="19050" rIns="38100" bIns="19050" anchor="ctr">
                <a:spAutoFit/>
              </a:bodyPr>
              <a:lstStyle/>
              <a:p>
                <a:pPr>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ext>
            </c:extLst>
          </c:dLbls>
          <c:cat>
            <c:strRef>
              <c:f>'Figure 4'!$E$4:$E$11</c:f>
              <c:strCache>
                <c:ptCount val="7"/>
                <c:pt idx="0">
                  <c:v>Gender</c:v>
                </c:pt>
                <c:pt idx="1">
                  <c:v>Age</c:v>
                </c:pt>
                <c:pt idx="2">
                  <c:v>Firm Size</c:v>
                </c:pt>
                <c:pt idx="3">
                  <c:v>Skill level</c:v>
                </c:pt>
                <c:pt idx="4">
                  <c:v>Labor Status</c:v>
                </c:pt>
                <c:pt idx="5">
                  <c:v>Urban</c:v>
                </c:pt>
                <c:pt idx="6">
                  <c:v>Sector</c:v>
                </c:pt>
              </c:strCache>
            </c:strRef>
          </c:cat>
          <c:val>
            <c:numRef>
              <c:f>'Figure 4'!$W$4:$W$11</c:f>
              <c:numCache>
                <c:formatCode>#,##0</c:formatCode>
                <c:ptCount val="7"/>
                <c:pt idx="6">
                  <c:v>2889622</c:v>
                </c:pt>
              </c:numCache>
            </c:numRef>
          </c:val>
          <c:extLst>
            <c:ext xmlns:c16="http://schemas.microsoft.com/office/drawing/2014/chart" uri="{C3380CC4-5D6E-409C-BE32-E72D297353CC}">
              <c16:uniqueId val="{0000001E-BE3F-47C6-8B59-9E5B14D9319F}"/>
            </c:ext>
          </c:extLst>
        </c:ser>
        <c:ser>
          <c:idx val="18"/>
          <c:order val="18"/>
          <c:tx>
            <c:strRef>
              <c:f>'Figure 4'!$X$2:$X$3</c:f>
              <c:strCache>
                <c:ptCount val="1"/>
                <c:pt idx="0">
                  <c:v>64+</c:v>
                </c:pt>
              </c:strCache>
            </c:strRef>
          </c:tx>
          <c:spPr>
            <a:solidFill>
              <a:schemeClr val="accent5">
                <a:lumMod val="75000"/>
              </a:schemeClr>
            </a:solidFill>
            <a:ln>
              <a:noFill/>
            </a:ln>
            <a:effectLst/>
          </c:spPr>
          <c:invertIfNegative val="0"/>
          <c:dLbls>
            <c:dLbl>
              <c:idx val="1"/>
              <c:layout>
                <c:manualLayout>
                  <c:x val="0"/>
                  <c:y val="1.0611024570454028E-2"/>
                </c:manualLayout>
              </c:layout>
              <c:dLblPos val="ct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F-BE3F-47C6-8B59-9E5B14D9319F}"/>
                </c:ext>
              </c:extLst>
            </c:dLbl>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ext>
            </c:extLst>
          </c:dLbls>
          <c:cat>
            <c:strRef>
              <c:f>'Figure 4'!$E$4:$E$11</c:f>
              <c:strCache>
                <c:ptCount val="7"/>
                <c:pt idx="0">
                  <c:v>Gender</c:v>
                </c:pt>
                <c:pt idx="1">
                  <c:v>Age</c:v>
                </c:pt>
                <c:pt idx="2">
                  <c:v>Firm Size</c:v>
                </c:pt>
                <c:pt idx="3">
                  <c:v>Skill level</c:v>
                </c:pt>
                <c:pt idx="4">
                  <c:v>Labor Status</c:v>
                </c:pt>
                <c:pt idx="5">
                  <c:v>Urban</c:v>
                </c:pt>
                <c:pt idx="6">
                  <c:v>Sector</c:v>
                </c:pt>
              </c:strCache>
            </c:strRef>
          </c:cat>
          <c:val>
            <c:numRef>
              <c:f>'Figure 4'!$X$4:$X$11</c:f>
              <c:numCache>
                <c:formatCode>#,##0</c:formatCode>
                <c:ptCount val="7"/>
                <c:pt idx="1">
                  <c:v>2712764</c:v>
                </c:pt>
              </c:numCache>
            </c:numRef>
          </c:val>
          <c:extLst>
            <c:ext xmlns:c16="http://schemas.microsoft.com/office/drawing/2014/chart" uri="{C3380CC4-5D6E-409C-BE32-E72D297353CC}">
              <c16:uniqueId val="{00000020-BE3F-47C6-8B59-9E5B14D9319F}"/>
            </c:ext>
          </c:extLst>
        </c:ser>
        <c:ser>
          <c:idx val="19"/>
          <c:order val="19"/>
          <c:tx>
            <c:strRef>
              <c:f>'Figure 4'!$Y$2:$Y$3</c:f>
              <c:strCache>
                <c:ptCount val="1"/>
                <c:pt idx="0">
                  <c:v>Employer</c:v>
                </c:pt>
              </c:strCache>
            </c:strRef>
          </c:tx>
          <c:spPr>
            <a:solidFill>
              <a:schemeClr val="accent5">
                <a:lumMod val="75000"/>
              </a:schemeClr>
            </a:solidFill>
            <a:ln>
              <a:noFill/>
            </a:ln>
            <a:effectLst/>
          </c:spPr>
          <c:invertIfNegative val="0"/>
          <c:dLbls>
            <c:spPr>
              <a:solidFill>
                <a:schemeClr val="accent5">
                  <a:lumMod val="75000"/>
                </a:schemeClr>
              </a:solidFill>
              <a:ln>
                <a:noFill/>
              </a:ln>
              <a:effectLst/>
            </c:spPr>
            <c:txPr>
              <a:bodyPr wrap="square" lIns="38100" tIns="19050" rIns="38100" bIns="19050" anchor="ctr">
                <a:spAutoFit/>
              </a:bodyPr>
              <a:lstStyle/>
              <a:p>
                <a:pPr>
                  <a:defRPr sz="1050">
                    <a:solidFill>
                      <a:schemeClr val="bg1"/>
                    </a:solidFill>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ext>
            </c:extLst>
          </c:dLbls>
          <c:cat>
            <c:strRef>
              <c:f>'Figure 4'!$E$4:$E$11</c:f>
              <c:strCache>
                <c:ptCount val="7"/>
                <c:pt idx="0">
                  <c:v>Gender</c:v>
                </c:pt>
                <c:pt idx="1">
                  <c:v>Age</c:v>
                </c:pt>
                <c:pt idx="2">
                  <c:v>Firm Size</c:v>
                </c:pt>
                <c:pt idx="3">
                  <c:v>Skill level</c:v>
                </c:pt>
                <c:pt idx="4">
                  <c:v>Labor Status</c:v>
                </c:pt>
                <c:pt idx="5">
                  <c:v>Urban</c:v>
                </c:pt>
                <c:pt idx="6">
                  <c:v>Sector</c:v>
                </c:pt>
              </c:strCache>
            </c:strRef>
          </c:cat>
          <c:val>
            <c:numRef>
              <c:f>'Figure 4'!$Y$4:$Y$11</c:f>
              <c:numCache>
                <c:formatCode>#,##0</c:formatCode>
                <c:ptCount val="7"/>
                <c:pt idx="4">
                  <c:v>1634175</c:v>
                </c:pt>
              </c:numCache>
            </c:numRef>
          </c:val>
          <c:extLst>
            <c:ext xmlns:c16="http://schemas.microsoft.com/office/drawing/2014/chart" uri="{C3380CC4-5D6E-409C-BE32-E72D297353CC}">
              <c16:uniqueId val="{00000021-BE3F-47C6-8B59-9E5B14D9319F}"/>
            </c:ext>
          </c:extLst>
        </c:ser>
        <c:ser>
          <c:idx val="20"/>
          <c:order val="20"/>
          <c:tx>
            <c:strRef>
              <c:f>'Figure 4'!$Z$2:$Z$3</c:f>
              <c:strCache>
                <c:ptCount val="1"/>
                <c:pt idx="0">
                  <c:v>Construction</c:v>
                </c:pt>
              </c:strCache>
            </c:strRef>
          </c:tx>
          <c:spPr>
            <a:solidFill>
              <a:schemeClr val="accent5">
                <a:lumMod val="20000"/>
                <a:lumOff val="80000"/>
              </a:schemeClr>
            </a:solidFill>
            <a:ln>
              <a:noFill/>
            </a:ln>
            <a:effectLst/>
          </c:spPr>
          <c:invertIfNegative val="0"/>
          <c:dLbls>
            <c:dLbl>
              <c:idx val="6"/>
              <c:layout>
                <c:manualLayout>
                  <c:x val="5.194269686465957E-2"/>
                  <c:y val="0"/>
                </c:manualLayout>
              </c:layout>
              <c:dLblPos val="ct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2-BE3F-47C6-8B59-9E5B14D9319F}"/>
                </c:ext>
              </c:extLst>
            </c:dLbl>
            <c:spPr>
              <a:noFill/>
              <a:ln>
                <a:noFill/>
              </a:ln>
              <a:effectLst/>
            </c:spPr>
            <c:txPr>
              <a:bodyPr wrap="square" lIns="38100" tIns="19050" rIns="38100" bIns="19050" anchor="ctr">
                <a:spAutoFit/>
              </a:bodyPr>
              <a:lstStyle/>
              <a:p>
                <a:pPr>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ext>
            </c:extLst>
          </c:dLbls>
          <c:cat>
            <c:strRef>
              <c:f>'Figure 4'!$E$4:$E$11</c:f>
              <c:strCache>
                <c:ptCount val="7"/>
                <c:pt idx="0">
                  <c:v>Gender</c:v>
                </c:pt>
                <c:pt idx="1">
                  <c:v>Age</c:v>
                </c:pt>
                <c:pt idx="2">
                  <c:v>Firm Size</c:v>
                </c:pt>
                <c:pt idx="3">
                  <c:v>Skill level</c:v>
                </c:pt>
                <c:pt idx="4">
                  <c:v>Labor Status</c:v>
                </c:pt>
                <c:pt idx="5">
                  <c:v>Urban</c:v>
                </c:pt>
                <c:pt idx="6">
                  <c:v>Sector</c:v>
                </c:pt>
              </c:strCache>
            </c:strRef>
          </c:cat>
          <c:val>
            <c:numRef>
              <c:f>'Figure 4'!$Z$4:$Z$11</c:f>
              <c:numCache>
                <c:formatCode>#,##0</c:formatCode>
                <c:ptCount val="7"/>
                <c:pt idx="6">
                  <c:v>1004913</c:v>
                </c:pt>
              </c:numCache>
            </c:numRef>
          </c:val>
          <c:extLst>
            <c:ext xmlns:c16="http://schemas.microsoft.com/office/drawing/2014/chart" uri="{C3380CC4-5D6E-409C-BE32-E72D297353CC}">
              <c16:uniqueId val="{00000023-BE3F-47C6-8B59-9E5B14D9319F}"/>
            </c:ext>
          </c:extLst>
        </c:ser>
        <c:ser>
          <c:idx val="21"/>
          <c:order val="21"/>
          <c:tx>
            <c:strRef>
              <c:f>'Figure 4'!$AA$2:$AA$3</c:f>
              <c:strCache>
                <c:ptCount val="1"/>
                <c:pt idx="0">
                  <c:v>Rural</c:v>
                </c:pt>
              </c:strCache>
            </c:strRef>
          </c:tx>
          <c:spPr>
            <a:solidFill>
              <a:schemeClr val="accent5"/>
            </a:solidFill>
            <a:ln>
              <a:noFill/>
            </a:ln>
            <a:effectLst/>
          </c:spPr>
          <c:invertIfNegative val="0"/>
          <c:dLbls>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ext>
            </c:extLst>
          </c:dLbls>
          <c:cat>
            <c:strRef>
              <c:f>'Figure 4'!$E$4:$E$11</c:f>
              <c:strCache>
                <c:ptCount val="7"/>
                <c:pt idx="0">
                  <c:v>Gender</c:v>
                </c:pt>
                <c:pt idx="1">
                  <c:v>Age</c:v>
                </c:pt>
                <c:pt idx="2">
                  <c:v>Firm Size</c:v>
                </c:pt>
                <c:pt idx="3">
                  <c:v>Skill level</c:v>
                </c:pt>
                <c:pt idx="4">
                  <c:v>Labor Status</c:v>
                </c:pt>
                <c:pt idx="5">
                  <c:v>Urban</c:v>
                </c:pt>
                <c:pt idx="6">
                  <c:v>Sector</c:v>
                </c:pt>
              </c:strCache>
            </c:strRef>
          </c:cat>
          <c:val>
            <c:numRef>
              <c:f>'Figure 4'!$AA$4:$AA$11</c:f>
              <c:numCache>
                <c:formatCode>#,##0</c:formatCode>
                <c:ptCount val="7"/>
                <c:pt idx="5">
                  <c:v>820846</c:v>
                </c:pt>
              </c:numCache>
            </c:numRef>
          </c:val>
          <c:extLst>
            <c:ext xmlns:c16="http://schemas.microsoft.com/office/drawing/2014/chart" uri="{C3380CC4-5D6E-409C-BE32-E72D297353CC}">
              <c16:uniqueId val="{00000024-BE3F-47C6-8B59-9E5B14D9319F}"/>
            </c:ext>
          </c:extLst>
        </c:ser>
        <c:ser>
          <c:idx val="22"/>
          <c:order val="22"/>
          <c:tx>
            <c:strRef>
              <c:f>'Figure 4'!$AB$2:$AB$3</c:f>
              <c:strCache>
                <c:ptCount val="1"/>
                <c:pt idx="0">
                  <c:v>Public Administration and Defense</c:v>
                </c:pt>
              </c:strCache>
            </c:strRef>
          </c:tx>
          <c:spPr>
            <a:solidFill>
              <a:schemeClr val="accent5">
                <a:lumMod val="75000"/>
              </a:schemeClr>
            </a:solidFill>
            <a:ln>
              <a:noFill/>
            </a:ln>
            <a:effectLst/>
          </c:spPr>
          <c:invertIfNegative val="0"/>
          <c:dLbls>
            <c:dLbl>
              <c:idx val="6"/>
              <c:layout>
                <c:manualLayout>
                  <c:x val="2.9872649643443628E-4"/>
                  <c:y val="-3.5544785359961716E-2"/>
                </c:manualLayout>
              </c:layout>
              <c:spPr>
                <a:noFill/>
                <a:ln>
                  <a:noFill/>
                </a:ln>
                <a:effectLst/>
              </c:spPr>
              <c:txPr>
                <a:bodyPr wrap="square" lIns="38100" tIns="19050" rIns="38100" bIns="19050" anchor="ctr">
                  <a:spAutoFit/>
                </a:bodyPr>
                <a:lstStyle/>
                <a:p>
                  <a:pPr>
                    <a:defRPr>
                      <a:solidFill>
                        <a:sysClr val="windowText" lastClr="000000"/>
                      </a:solidFill>
                    </a:defRPr>
                  </a:pPr>
                  <a:endParaRPr lang="en-US"/>
                </a:p>
              </c:txPr>
              <c:dLblPos val="ct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5-BE3F-47C6-8B59-9E5B14D9319F}"/>
                </c:ext>
              </c:extLst>
            </c:dLbl>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ext>
            </c:extLst>
          </c:dLbls>
          <c:cat>
            <c:strRef>
              <c:f>'Figure 4'!$E$4:$E$11</c:f>
              <c:strCache>
                <c:ptCount val="7"/>
                <c:pt idx="0">
                  <c:v>Gender</c:v>
                </c:pt>
                <c:pt idx="1">
                  <c:v>Age</c:v>
                </c:pt>
                <c:pt idx="2">
                  <c:v>Firm Size</c:v>
                </c:pt>
                <c:pt idx="3">
                  <c:v>Skill level</c:v>
                </c:pt>
                <c:pt idx="4">
                  <c:v>Labor Status</c:v>
                </c:pt>
                <c:pt idx="5">
                  <c:v>Urban</c:v>
                </c:pt>
                <c:pt idx="6">
                  <c:v>Sector</c:v>
                </c:pt>
              </c:strCache>
            </c:strRef>
          </c:cat>
          <c:val>
            <c:numRef>
              <c:f>'Figure 4'!$AB$4:$AB$11</c:f>
              <c:numCache>
                <c:formatCode>#,##0</c:formatCode>
                <c:ptCount val="7"/>
                <c:pt idx="6">
                  <c:v>703623</c:v>
                </c:pt>
              </c:numCache>
            </c:numRef>
          </c:val>
          <c:extLst>
            <c:ext xmlns:c16="http://schemas.microsoft.com/office/drawing/2014/chart" uri="{C3380CC4-5D6E-409C-BE32-E72D297353CC}">
              <c16:uniqueId val="{00000026-BE3F-47C6-8B59-9E5B14D9319F}"/>
            </c:ext>
          </c:extLst>
        </c:ser>
        <c:ser>
          <c:idx val="23"/>
          <c:order val="23"/>
          <c:tx>
            <c:strRef>
              <c:f>'Figure 4'!$AC$2:$AC$3</c:f>
              <c:strCache>
                <c:ptCount val="1"/>
                <c:pt idx="0">
                  <c:v>15-24</c:v>
                </c:pt>
              </c:strCache>
            </c:strRef>
          </c:tx>
          <c:spPr>
            <a:solidFill>
              <a:schemeClr val="accent5">
                <a:lumMod val="50000"/>
              </a:schemeClr>
            </a:solidFill>
            <a:ln>
              <a:noFill/>
            </a:ln>
            <a:effectLst/>
          </c:spPr>
          <c:invertIfNegative val="0"/>
          <c:dLbls>
            <c:dLbl>
              <c:idx val="1"/>
              <c:layout>
                <c:manualLayout>
                  <c:x val="-9.6327122661061788E-4"/>
                  <c:y val="5.698859689587151E-3"/>
                </c:manualLayout>
              </c:layout>
              <c:dLblPos val="ct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7-BE3F-47C6-8B59-9E5B14D9319F}"/>
                </c:ext>
              </c:extLst>
            </c:dLbl>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ext>
            </c:extLst>
          </c:dLbls>
          <c:cat>
            <c:strRef>
              <c:f>'Figure 4'!$E$4:$E$11</c:f>
              <c:strCache>
                <c:ptCount val="7"/>
                <c:pt idx="0">
                  <c:v>Gender</c:v>
                </c:pt>
                <c:pt idx="1">
                  <c:v>Age</c:v>
                </c:pt>
                <c:pt idx="2">
                  <c:v>Firm Size</c:v>
                </c:pt>
                <c:pt idx="3">
                  <c:v>Skill level</c:v>
                </c:pt>
                <c:pt idx="4">
                  <c:v>Labor Status</c:v>
                </c:pt>
                <c:pt idx="5">
                  <c:v>Urban</c:v>
                </c:pt>
                <c:pt idx="6">
                  <c:v>Sector</c:v>
                </c:pt>
              </c:strCache>
            </c:strRef>
          </c:cat>
          <c:val>
            <c:numRef>
              <c:f>'Figure 4'!$AC$4:$AC$11</c:f>
              <c:numCache>
                <c:formatCode>#,##0</c:formatCode>
                <c:ptCount val="7"/>
                <c:pt idx="1">
                  <c:v>648381</c:v>
                </c:pt>
              </c:numCache>
            </c:numRef>
          </c:val>
          <c:extLst>
            <c:ext xmlns:c16="http://schemas.microsoft.com/office/drawing/2014/chart" uri="{C3380CC4-5D6E-409C-BE32-E72D297353CC}">
              <c16:uniqueId val="{00000028-BE3F-47C6-8B59-9E5B14D9319F}"/>
            </c:ext>
          </c:extLst>
        </c:ser>
        <c:ser>
          <c:idx val="24"/>
          <c:order val="24"/>
          <c:tx>
            <c:strRef>
              <c:f>'Figure 4'!$AD$2:$AD$3</c:f>
              <c:strCache>
                <c:ptCount val="1"/>
                <c:pt idx="0">
                  <c:v>Domestic Service</c:v>
                </c:pt>
              </c:strCache>
            </c:strRef>
          </c:tx>
          <c:spPr>
            <a:solidFill>
              <a:schemeClr val="accent3">
                <a:lumMod val="60000"/>
              </a:schemeClr>
            </a:solidFill>
            <a:ln>
              <a:noFill/>
            </a:ln>
            <a:effectLst/>
          </c:spPr>
          <c:invertIfNegative val="0"/>
          <c:dLbls>
            <c:dLbl>
              <c:idx val="6"/>
              <c:layout>
                <c:manualLayout>
                  <c:x val="6.5882176032124068E-2"/>
                  <c:y val="1.3657046923785401E-3"/>
                </c:manualLayout>
              </c:layout>
              <c:dLblPos val="ct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9-BE3F-47C6-8B59-9E5B14D9319F}"/>
                </c:ext>
              </c:extLst>
            </c:dLbl>
            <c:spPr>
              <a:noFill/>
              <a:ln>
                <a:noFill/>
              </a:ln>
              <a:effectLst/>
            </c:spPr>
            <c:txPr>
              <a:bodyPr wrap="square" lIns="38100" tIns="19050" rIns="38100" bIns="19050" anchor="ctr">
                <a:spAutoFit/>
              </a:bodyPr>
              <a:lstStyle/>
              <a:p>
                <a:pPr>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ext>
            </c:extLst>
          </c:dLbls>
          <c:cat>
            <c:strRef>
              <c:f>'Figure 4'!$E$4:$E$11</c:f>
              <c:strCache>
                <c:ptCount val="7"/>
                <c:pt idx="0">
                  <c:v>Gender</c:v>
                </c:pt>
                <c:pt idx="1">
                  <c:v>Age</c:v>
                </c:pt>
                <c:pt idx="2">
                  <c:v>Firm Size</c:v>
                </c:pt>
                <c:pt idx="3">
                  <c:v>Skill level</c:v>
                </c:pt>
                <c:pt idx="4">
                  <c:v>Labor Status</c:v>
                </c:pt>
                <c:pt idx="5">
                  <c:v>Urban</c:v>
                </c:pt>
                <c:pt idx="6">
                  <c:v>Sector</c:v>
                </c:pt>
              </c:strCache>
            </c:strRef>
          </c:cat>
          <c:val>
            <c:numRef>
              <c:f>'Figure 4'!$AD$4:$AD$11</c:f>
              <c:numCache>
                <c:formatCode>#,##0</c:formatCode>
                <c:ptCount val="7"/>
                <c:pt idx="6">
                  <c:v>-19852</c:v>
                </c:pt>
              </c:numCache>
            </c:numRef>
          </c:val>
          <c:extLst>
            <c:ext xmlns:c16="http://schemas.microsoft.com/office/drawing/2014/chart" uri="{C3380CC4-5D6E-409C-BE32-E72D297353CC}">
              <c16:uniqueId val="{0000002A-BE3F-47C6-8B59-9E5B14D9319F}"/>
            </c:ext>
          </c:extLst>
        </c:ser>
        <c:ser>
          <c:idx val="25"/>
          <c:order val="25"/>
          <c:tx>
            <c:strRef>
              <c:f>'Figure 4'!$AE$2:$AE$3</c:f>
              <c:strCache>
                <c:ptCount val="1"/>
                <c:pt idx="0">
                  <c:v>Unpaid workers</c:v>
                </c:pt>
              </c:strCache>
            </c:strRef>
          </c:tx>
          <c:spPr>
            <a:solidFill>
              <a:schemeClr val="accent5">
                <a:lumMod val="20000"/>
                <a:lumOff val="80000"/>
              </a:schemeClr>
            </a:solidFill>
            <a:ln>
              <a:noFill/>
            </a:ln>
            <a:effectLst/>
          </c:spPr>
          <c:invertIfNegative val="0"/>
          <c:dLbls>
            <c:spPr>
              <a:noFill/>
              <a:ln>
                <a:noFill/>
              </a:ln>
              <a:effectLst/>
            </c:spPr>
            <c:txPr>
              <a:bodyPr wrap="square" lIns="38100" tIns="19050" rIns="38100" bIns="19050" anchor="ctr">
                <a:spAutoFit/>
              </a:bodyPr>
              <a:lstStyle/>
              <a:p>
                <a:pPr>
                  <a:defRPr sz="1100">
                    <a:solidFill>
                      <a:schemeClr val="accent5"/>
                    </a:solidFill>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ext>
            </c:extLst>
          </c:dLbls>
          <c:cat>
            <c:strRef>
              <c:f>'Figure 4'!$E$4:$E$11</c:f>
              <c:strCache>
                <c:ptCount val="7"/>
                <c:pt idx="0">
                  <c:v>Gender</c:v>
                </c:pt>
                <c:pt idx="1">
                  <c:v>Age</c:v>
                </c:pt>
                <c:pt idx="2">
                  <c:v>Firm Size</c:v>
                </c:pt>
                <c:pt idx="3">
                  <c:v>Skill level</c:v>
                </c:pt>
                <c:pt idx="4">
                  <c:v>Labor Status</c:v>
                </c:pt>
                <c:pt idx="5">
                  <c:v>Urban</c:v>
                </c:pt>
                <c:pt idx="6">
                  <c:v>Sector</c:v>
                </c:pt>
              </c:strCache>
            </c:strRef>
          </c:cat>
          <c:val>
            <c:numRef>
              <c:f>'Figure 4'!$AE$4:$AE$11</c:f>
              <c:numCache>
                <c:formatCode>#,##0</c:formatCode>
                <c:ptCount val="7"/>
                <c:pt idx="4">
                  <c:v>-917765</c:v>
                </c:pt>
              </c:numCache>
            </c:numRef>
          </c:val>
          <c:extLst>
            <c:ext xmlns:c16="http://schemas.microsoft.com/office/drawing/2014/chart" uri="{C3380CC4-5D6E-409C-BE32-E72D297353CC}">
              <c16:uniqueId val="{0000002B-BE3F-47C6-8B59-9E5B14D9319F}"/>
            </c:ext>
          </c:extLst>
        </c:ser>
        <c:ser>
          <c:idx val="26"/>
          <c:order val="26"/>
          <c:tx>
            <c:strRef>
              <c:f>'Figure 4'!$AF$2:$AF$3</c:f>
              <c:strCache>
                <c:ptCount val="1"/>
                <c:pt idx="0">
                  <c:v>Primary Activities</c:v>
                </c:pt>
              </c:strCache>
            </c:strRef>
          </c:tx>
          <c:spPr>
            <a:solidFill>
              <a:srgbClr val="FFCCCC"/>
            </a:solidFill>
            <a:ln>
              <a:noFill/>
            </a:ln>
            <a:effectLst/>
          </c:spPr>
          <c:invertIfNegative val="0"/>
          <c:dLbls>
            <c:dLbl>
              <c:idx val="6"/>
              <c:layout>
                <c:manualLayout>
                  <c:x val="2.9956190029315714E-4"/>
                  <c:y val="-4.1649359232446309E-2"/>
                </c:manualLayout>
              </c:layout>
              <c:dLblPos val="ct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C-BE3F-47C6-8B59-9E5B14D9319F}"/>
                </c:ext>
              </c:extLst>
            </c:dLbl>
            <c:spPr>
              <a:noFill/>
              <a:ln>
                <a:noFill/>
              </a:ln>
              <a:effectLst/>
            </c:spPr>
            <c:txPr>
              <a:bodyPr wrap="square" lIns="38100" tIns="19050" rIns="38100" bIns="19050" anchor="ctr">
                <a:spAutoFit/>
              </a:bodyPr>
              <a:lstStyle/>
              <a:p>
                <a:pPr>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ext>
            </c:extLst>
          </c:dLbls>
          <c:cat>
            <c:strRef>
              <c:f>'Figure 4'!$E$4:$E$11</c:f>
              <c:strCache>
                <c:ptCount val="7"/>
                <c:pt idx="0">
                  <c:v>Gender</c:v>
                </c:pt>
                <c:pt idx="1">
                  <c:v>Age</c:v>
                </c:pt>
                <c:pt idx="2">
                  <c:v>Firm Size</c:v>
                </c:pt>
                <c:pt idx="3">
                  <c:v>Skill level</c:v>
                </c:pt>
                <c:pt idx="4">
                  <c:v>Labor Status</c:v>
                </c:pt>
                <c:pt idx="5">
                  <c:v>Urban</c:v>
                </c:pt>
                <c:pt idx="6">
                  <c:v>Sector</c:v>
                </c:pt>
              </c:strCache>
            </c:strRef>
          </c:cat>
          <c:val>
            <c:numRef>
              <c:f>'Figure 4'!$AF$4:$AF$11</c:f>
              <c:numCache>
                <c:formatCode>#,##0</c:formatCode>
                <c:ptCount val="7"/>
                <c:pt idx="6">
                  <c:v>-1264774</c:v>
                </c:pt>
              </c:numCache>
            </c:numRef>
          </c:val>
          <c:extLst>
            <c:ext xmlns:c16="http://schemas.microsoft.com/office/drawing/2014/chart" uri="{C3380CC4-5D6E-409C-BE32-E72D297353CC}">
              <c16:uniqueId val="{0000002D-BE3F-47C6-8B59-9E5B14D9319F}"/>
            </c:ext>
          </c:extLst>
        </c:ser>
        <c:ser>
          <c:idx val="27"/>
          <c:order val="27"/>
          <c:tx>
            <c:strRef>
              <c:f>'Figure 4'!$AG$2:$AG$3</c:f>
              <c:strCache>
                <c:ptCount val="1"/>
                <c:pt idx="0">
                  <c:v>Low</c:v>
                </c:pt>
              </c:strCache>
            </c:strRef>
          </c:tx>
          <c:spPr>
            <a:solidFill>
              <a:schemeClr val="accent5">
                <a:lumMod val="40000"/>
                <a:lumOff val="60000"/>
              </a:schemeClr>
            </a:solidFill>
            <a:ln>
              <a:noFill/>
            </a:ln>
            <a:effectLst/>
          </c:spPr>
          <c:invertIfNegative val="0"/>
          <c:dLbls>
            <c:spPr>
              <a:noFill/>
              <a:ln>
                <a:noFill/>
              </a:ln>
              <a:effectLst/>
            </c:spPr>
            <c:txPr>
              <a:bodyPr wrap="square" lIns="38100" tIns="19050" rIns="38100" bIns="19050" anchor="ctr">
                <a:spAutoFit/>
              </a:bodyPr>
              <a:lstStyle/>
              <a:p>
                <a:pPr>
                  <a:defRPr sz="1100">
                    <a:solidFill>
                      <a:schemeClr val="bg1"/>
                    </a:solidFill>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ext>
            </c:extLst>
          </c:dLbls>
          <c:cat>
            <c:strRef>
              <c:f>'Figure 4'!$E$4:$E$11</c:f>
              <c:strCache>
                <c:ptCount val="7"/>
                <c:pt idx="0">
                  <c:v>Gender</c:v>
                </c:pt>
                <c:pt idx="1">
                  <c:v>Age</c:v>
                </c:pt>
                <c:pt idx="2">
                  <c:v>Firm Size</c:v>
                </c:pt>
                <c:pt idx="3">
                  <c:v>Skill level</c:v>
                </c:pt>
                <c:pt idx="4">
                  <c:v>Labor Status</c:v>
                </c:pt>
                <c:pt idx="5">
                  <c:v>Urban</c:v>
                </c:pt>
                <c:pt idx="6">
                  <c:v>Sector</c:v>
                </c:pt>
              </c:strCache>
            </c:strRef>
          </c:cat>
          <c:val>
            <c:numRef>
              <c:f>'Figure 4'!$AG$4:$AG$11</c:f>
              <c:numCache>
                <c:formatCode>#,##0</c:formatCode>
                <c:ptCount val="7"/>
                <c:pt idx="3">
                  <c:v>-7312667</c:v>
                </c:pt>
              </c:numCache>
            </c:numRef>
          </c:val>
          <c:extLst>
            <c:ext xmlns:c16="http://schemas.microsoft.com/office/drawing/2014/chart" uri="{C3380CC4-5D6E-409C-BE32-E72D297353CC}">
              <c16:uniqueId val="{0000002E-BE3F-47C6-8B59-9E5B14D9319F}"/>
            </c:ext>
          </c:extLst>
        </c:ser>
        <c:dLbls>
          <c:dLblPos val="ctr"/>
          <c:showLegendKey val="0"/>
          <c:showVal val="1"/>
          <c:showCatName val="0"/>
          <c:showSerName val="0"/>
          <c:showPercent val="0"/>
          <c:showBubbleSize val="0"/>
        </c:dLbls>
        <c:gapWidth val="219"/>
        <c:overlap val="100"/>
        <c:axId val="1473460448"/>
        <c:axId val="1473460928"/>
      </c:barChart>
      <c:catAx>
        <c:axId val="147346044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1473460928"/>
        <c:crosses val="autoZero"/>
        <c:auto val="1"/>
        <c:lblAlgn val="ctr"/>
        <c:lblOffset val="20"/>
        <c:noMultiLvlLbl val="0"/>
      </c:catAx>
      <c:valAx>
        <c:axId val="14734609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460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94476817170447E-2"/>
          <c:y val="1.7276274279389877E-2"/>
          <c:w val="0.89156904224941314"/>
          <c:h val="0.81529459344798805"/>
        </c:manualLayout>
      </c:layout>
      <c:barChart>
        <c:barDir val="col"/>
        <c:grouping val="clustered"/>
        <c:varyColors val="0"/>
        <c:ser>
          <c:idx val="0"/>
          <c:order val="0"/>
          <c:tx>
            <c:strRef>
              <c:f>'Figure 5'!$B$1</c:f>
              <c:strCache>
                <c:ptCount val="1"/>
                <c:pt idx="0">
                  <c:v>LFP (LAC)</c:v>
                </c:pt>
              </c:strCache>
            </c:strRef>
          </c:tx>
          <c:spPr>
            <a:solidFill>
              <a:schemeClr val="accent5">
                <a:lumMod val="60000"/>
                <a:lumOff val="40000"/>
                <a:alpha val="90000"/>
              </a:schemeClr>
            </a:solidFill>
            <a:ln>
              <a:noFill/>
            </a:ln>
            <a:effectLst/>
          </c:spPr>
          <c:invertIfNegative val="0"/>
          <c:cat>
            <c:strRef>
              <c:f>'Figure 5'!$A$2:$A$35</c:f>
              <c:strCache>
                <c:ptCount val="34"/>
                <c:pt idx="0">
                  <c:v>2016-Q1</c:v>
                </c:pt>
                <c:pt idx="1">
                  <c:v>2016-Q2</c:v>
                </c:pt>
                <c:pt idx="2">
                  <c:v>2016-Q3</c:v>
                </c:pt>
                <c:pt idx="3">
                  <c:v>2016-Q4</c:v>
                </c:pt>
                <c:pt idx="4">
                  <c:v>2017-Q1</c:v>
                </c:pt>
                <c:pt idx="5">
                  <c:v>2017-Q2</c:v>
                </c:pt>
                <c:pt idx="6">
                  <c:v>2017-Q3</c:v>
                </c:pt>
                <c:pt idx="7">
                  <c:v>2017-Q4</c:v>
                </c:pt>
                <c:pt idx="8">
                  <c:v>2018-Q1</c:v>
                </c:pt>
                <c:pt idx="9">
                  <c:v>2018-Q2</c:v>
                </c:pt>
                <c:pt idx="10">
                  <c:v>2018-Q3</c:v>
                </c:pt>
                <c:pt idx="11">
                  <c:v>2018-Q4</c:v>
                </c:pt>
                <c:pt idx="12">
                  <c:v>2019-Q1</c:v>
                </c:pt>
                <c:pt idx="13">
                  <c:v>2019-Q2</c:v>
                </c:pt>
                <c:pt idx="14">
                  <c:v>2019-Q3</c:v>
                </c:pt>
                <c:pt idx="15">
                  <c:v>2019-Q4</c:v>
                </c:pt>
                <c:pt idx="16">
                  <c:v>2020-Q1</c:v>
                </c:pt>
                <c:pt idx="17">
                  <c:v>2020-Q2</c:v>
                </c:pt>
                <c:pt idx="18">
                  <c:v>2020-Q3</c:v>
                </c:pt>
                <c:pt idx="19">
                  <c:v>2020-Q4</c:v>
                </c:pt>
                <c:pt idx="20">
                  <c:v>2021-Q1</c:v>
                </c:pt>
                <c:pt idx="21">
                  <c:v>2021-Q2</c:v>
                </c:pt>
                <c:pt idx="22">
                  <c:v>2021-Q3</c:v>
                </c:pt>
                <c:pt idx="23">
                  <c:v>2021-Q4</c:v>
                </c:pt>
                <c:pt idx="24">
                  <c:v>2022-Q1</c:v>
                </c:pt>
                <c:pt idx="25">
                  <c:v>2022-Q2</c:v>
                </c:pt>
                <c:pt idx="26">
                  <c:v>2022-Q3</c:v>
                </c:pt>
                <c:pt idx="27">
                  <c:v>2022-Q4</c:v>
                </c:pt>
                <c:pt idx="28">
                  <c:v>2023-Q1</c:v>
                </c:pt>
                <c:pt idx="29">
                  <c:v>2023-Q2</c:v>
                </c:pt>
                <c:pt idx="30">
                  <c:v>2023-Q3</c:v>
                </c:pt>
                <c:pt idx="31">
                  <c:v>2023-Q4</c:v>
                </c:pt>
                <c:pt idx="32">
                  <c:v>2024-Q1</c:v>
                </c:pt>
                <c:pt idx="33">
                  <c:v>2024-Q2</c:v>
                </c:pt>
              </c:strCache>
            </c:strRef>
          </c:cat>
          <c:val>
            <c:numRef>
              <c:f>'Figure 5'!$B$2:$B$35</c:f>
              <c:numCache>
                <c:formatCode>0.0</c:formatCode>
                <c:ptCount val="34"/>
                <c:pt idx="0">
                  <c:v>62.6</c:v>
                </c:pt>
                <c:pt idx="1">
                  <c:v>63.07</c:v>
                </c:pt>
                <c:pt idx="2">
                  <c:v>62.93</c:v>
                </c:pt>
                <c:pt idx="3">
                  <c:v>63.05</c:v>
                </c:pt>
                <c:pt idx="4">
                  <c:v>62.81</c:v>
                </c:pt>
                <c:pt idx="5">
                  <c:v>63.03</c:v>
                </c:pt>
                <c:pt idx="6">
                  <c:v>63.15</c:v>
                </c:pt>
                <c:pt idx="7">
                  <c:v>63.23</c:v>
                </c:pt>
                <c:pt idx="8">
                  <c:v>62.87</c:v>
                </c:pt>
                <c:pt idx="9">
                  <c:v>63.14</c:v>
                </c:pt>
                <c:pt idx="10">
                  <c:v>63.37</c:v>
                </c:pt>
                <c:pt idx="11">
                  <c:v>63.4</c:v>
                </c:pt>
                <c:pt idx="12">
                  <c:v>63.28</c:v>
                </c:pt>
                <c:pt idx="13">
                  <c:v>63.64</c:v>
                </c:pt>
                <c:pt idx="14">
                  <c:v>63.66</c:v>
                </c:pt>
                <c:pt idx="15">
                  <c:v>63.65</c:v>
                </c:pt>
                <c:pt idx="16">
                  <c:v>62.97</c:v>
                </c:pt>
                <c:pt idx="17">
                  <c:v>56.87</c:v>
                </c:pt>
                <c:pt idx="18">
                  <c:v>57.91</c:v>
                </c:pt>
                <c:pt idx="19">
                  <c:v>60.24</c:v>
                </c:pt>
                <c:pt idx="20">
                  <c:v>60.16</c:v>
                </c:pt>
                <c:pt idx="21">
                  <c:v>61.02</c:v>
                </c:pt>
                <c:pt idx="22">
                  <c:v>61.85</c:v>
                </c:pt>
                <c:pt idx="23">
                  <c:v>62.3</c:v>
                </c:pt>
                <c:pt idx="24">
                  <c:v>62</c:v>
                </c:pt>
                <c:pt idx="25">
                  <c:v>62.71</c:v>
                </c:pt>
                <c:pt idx="26">
                  <c:v>62.73</c:v>
                </c:pt>
                <c:pt idx="27">
                  <c:v>62.48</c:v>
                </c:pt>
                <c:pt idx="28">
                  <c:v>62.39</c:v>
                </c:pt>
                <c:pt idx="29">
                  <c:v>62.3</c:v>
                </c:pt>
                <c:pt idx="30">
                  <c:v>62.66</c:v>
                </c:pt>
                <c:pt idx="31">
                  <c:v>62.82</c:v>
                </c:pt>
                <c:pt idx="32">
                  <c:v>62.54</c:v>
                </c:pt>
                <c:pt idx="33">
                  <c:v>62.76</c:v>
                </c:pt>
              </c:numCache>
            </c:numRef>
          </c:val>
          <c:extLst>
            <c:ext xmlns:c16="http://schemas.microsoft.com/office/drawing/2014/chart" uri="{C3380CC4-5D6E-409C-BE32-E72D297353CC}">
              <c16:uniqueId val="{00000000-C20C-47A3-8C9F-D4A421DEFC21}"/>
            </c:ext>
          </c:extLst>
        </c:ser>
        <c:ser>
          <c:idx val="4"/>
          <c:order val="1"/>
          <c:tx>
            <c:strRef>
              <c:f>'Figure 5'!$C$1</c:f>
              <c:strCache>
                <c:ptCount val="1"/>
                <c:pt idx="0">
                  <c:v>Employment (LAC)</c:v>
                </c:pt>
              </c:strCache>
            </c:strRef>
          </c:tx>
          <c:spPr>
            <a:solidFill>
              <a:schemeClr val="accent5">
                <a:lumMod val="20000"/>
                <a:lumOff val="80000"/>
                <a:alpha val="90000"/>
              </a:schemeClr>
            </a:solidFill>
            <a:ln>
              <a:noFill/>
            </a:ln>
            <a:effectLst/>
          </c:spPr>
          <c:invertIfNegative val="0"/>
          <c:cat>
            <c:strRef>
              <c:f>'Figure 5'!$A$2:$A$35</c:f>
              <c:strCache>
                <c:ptCount val="34"/>
                <c:pt idx="0">
                  <c:v>2016-Q1</c:v>
                </c:pt>
                <c:pt idx="1">
                  <c:v>2016-Q2</c:v>
                </c:pt>
                <c:pt idx="2">
                  <c:v>2016-Q3</c:v>
                </c:pt>
                <c:pt idx="3">
                  <c:v>2016-Q4</c:v>
                </c:pt>
                <c:pt idx="4">
                  <c:v>2017-Q1</c:v>
                </c:pt>
                <c:pt idx="5">
                  <c:v>2017-Q2</c:v>
                </c:pt>
                <c:pt idx="6">
                  <c:v>2017-Q3</c:v>
                </c:pt>
                <c:pt idx="7">
                  <c:v>2017-Q4</c:v>
                </c:pt>
                <c:pt idx="8">
                  <c:v>2018-Q1</c:v>
                </c:pt>
                <c:pt idx="9">
                  <c:v>2018-Q2</c:v>
                </c:pt>
                <c:pt idx="10">
                  <c:v>2018-Q3</c:v>
                </c:pt>
                <c:pt idx="11">
                  <c:v>2018-Q4</c:v>
                </c:pt>
                <c:pt idx="12">
                  <c:v>2019-Q1</c:v>
                </c:pt>
                <c:pt idx="13">
                  <c:v>2019-Q2</c:v>
                </c:pt>
                <c:pt idx="14">
                  <c:v>2019-Q3</c:v>
                </c:pt>
                <c:pt idx="15">
                  <c:v>2019-Q4</c:v>
                </c:pt>
                <c:pt idx="16">
                  <c:v>2020-Q1</c:v>
                </c:pt>
                <c:pt idx="17">
                  <c:v>2020-Q2</c:v>
                </c:pt>
                <c:pt idx="18">
                  <c:v>2020-Q3</c:v>
                </c:pt>
                <c:pt idx="19">
                  <c:v>2020-Q4</c:v>
                </c:pt>
                <c:pt idx="20">
                  <c:v>2021-Q1</c:v>
                </c:pt>
                <c:pt idx="21">
                  <c:v>2021-Q2</c:v>
                </c:pt>
                <c:pt idx="22">
                  <c:v>2021-Q3</c:v>
                </c:pt>
                <c:pt idx="23">
                  <c:v>2021-Q4</c:v>
                </c:pt>
                <c:pt idx="24">
                  <c:v>2022-Q1</c:v>
                </c:pt>
                <c:pt idx="25">
                  <c:v>2022-Q2</c:v>
                </c:pt>
                <c:pt idx="26">
                  <c:v>2022-Q3</c:v>
                </c:pt>
                <c:pt idx="27">
                  <c:v>2022-Q4</c:v>
                </c:pt>
                <c:pt idx="28">
                  <c:v>2023-Q1</c:v>
                </c:pt>
                <c:pt idx="29">
                  <c:v>2023-Q2</c:v>
                </c:pt>
                <c:pt idx="30">
                  <c:v>2023-Q3</c:v>
                </c:pt>
                <c:pt idx="31">
                  <c:v>2023-Q4</c:v>
                </c:pt>
                <c:pt idx="32">
                  <c:v>2024-Q1</c:v>
                </c:pt>
                <c:pt idx="33">
                  <c:v>2024-Q2</c:v>
                </c:pt>
              </c:strCache>
            </c:strRef>
          </c:cat>
          <c:val>
            <c:numRef>
              <c:f>'Figure 5'!$C$2:$C$35</c:f>
              <c:numCache>
                <c:formatCode>0.0</c:formatCode>
                <c:ptCount val="34"/>
                <c:pt idx="0">
                  <c:v>56.97</c:v>
                </c:pt>
                <c:pt idx="1">
                  <c:v>57.63</c:v>
                </c:pt>
                <c:pt idx="2">
                  <c:v>57.39</c:v>
                </c:pt>
                <c:pt idx="3">
                  <c:v>57.61</c:v>
                </c:pt>
                <c:pt idx="4">
                  <c:v>56.62</c:v>
                </c:pt>
                <c:pt idx="5">
                  <c:v>57.18</c:v>
                </c:pt>
                <c:pt idx="6">
                  <c:v>57.47</c:v>
                </c:pt>
                <c:pt idx="7">
                  <c:v>57.85</c:v>
                </c:pt>
                <c:pt idx="8">
                  <c:v>56.88</c:v>
                </c:pt>
                <c:pt idx="9">
                  <c:v>57.45</c:v>
                </c:pt>
                <c:pt idx="10">
                  <c:v>57.8</c:v>
                </c:pt>
                <c:pt idx="11">
                  <c:v>57.97</c:v>
                </c:pt>
                <c:pt idx="12">
                  <c:v>57.22</c:v>
                </c:pt>
                <c:pt idx="13">
                  <c:v>57.88</c:v>
                </c:pt>
                <c:pt idx="14">
                  <c:v>57.96</c:v>
                </c:pt>
                <c:pt idx="15">
                  <c:v>58.35</c:v>
                </c:pt>
                <c:pt idx="16">
                  <c:v>56.99</c:v>
                </c:pt>
                <c:pt idx="17">
                  <c:v>49.94</c:v>
                </c:pt>
                <c:pt idx="18">
                  <c:v>50.76</c:v>
                </c:pt>
                <c:pt idx="19">
                  <c:v>53.5</c:v>
                </c:pt>
                <c:pt idx="20">
                  <c:v>53.14</c:v>
                </c:pt>
                <c:pt idx="21">
                  <c:v>54.34</c:v>
                </c:pt>
                <c:pt idx="22">
                  <c:v>55.77</c:v>
                </c:pt>
                <c:pt idx="23">
                  <c:v>56.99</c:v>
                </c:pt>
                <c:pt idx="24">
                  <c:v>56.57</c:v>
                </c:pt>
                <c:pt idx="25">
                  <c:v>58.01</c:v>
                </c:pt>
                <c:pt idx="26">
                  <c:v>58.17</c:v>
                </c:pt>
                <c:pt idx="27">
                  <c:v>58.35</c:v>
                </c:pt>
                <c:pt idx="28">
                  <c:v>57.88</c:v>
                </c:pt>
                <c:pt idx="29">
                  <c:v>58.16</c:v>
                </c:pt>
                <c:pt idx="30">
                  <c:v>58.65</c:v>
                </c:pt>
                <c:pt idx="31">
                  <c:v>58.94</c:v>
                </c:pt>
                <c:pt idx="32">
                  <c:v>58.28</c:v>
                </c:pt>
                <c:pt idx="33">
                  <c:v>58.88</c:v>
                </c:pt>
              </c:numCache>
            </c:numRef>
          </c:val>
          <c:extLst>
            <c:ext xmlns:c16="http://schemas.microsoft.com/office/drawing/2014/chart" uri="{C3380CC4-5D6E-409C-BE32-E72D297353CC}">
              <c16:uniqueId val="{00000001-C20C-47A3-8C9F-D4A421DEFC21}"/>
            </c:ext>
          </c:extLst>
        </c:ser>
        <c:dLbls>
          <c:showLegendKey val="0"/>
          <c:showVal val="0"/>
          <c:showCatName val="0"/>
          <c:showSerName val="0"/>
          <c:showPercent val="0"/>
          <c:showBubbleSize val="0"/>
        </c:dLbls>
        <c:gapWidth val="150"/>
        <c:axId val="1406960543"/>
        <c:axId val="1406958143"/>
      </c:barChart>
      <c:lineChart>
        <c:grouping val="standard"/>
        <c:varyColors val="0"/>
        <c:ser>
          <c:idx val="7"/>
          <c:order val="2"/>
          <c:tx>
            <c:strRef>
              <c:f>'Figure 5'!$D$1</c:f>
              <c:strCache>
                <c:ptCount val="1"/>
                <c:pt idx="0">
                  <c:v>Unemployment (LAC)</c:v>
                </c:pt>
              </c:strCache>
            </c:strRef>
          </c:tx>
          <c:spPr>
            <a:ln w="28575" cap="rnd">
              <a:solidFill>
                <a:schemeClr val="accent5"/>
              </a:solidFill>
              <a:round/>
            </a:ln>
            <a:effectLst/>
          </c:spPr>
          <c:marker>
            <c:symbol val="none"/>
          </c:marker>
          <c:cat>
            <c:strLit>
              <c:ptCount val="1"/>
              <c:pt idx="0">
                <c:v>#REF!</c:v>
              </c:pt>
            </c:strLit>
          </c:cat>
          <c:val>
            <c:numRef>
              <c:f>'Figure 5'!$D$2:$D$35</c:f>
              <c:numCache>
                <c:formatCode>0.0</c:formatCode>
                <c:ptCount val="34"/>
                <c:pt idx="0">
                  <c:v>9.06</c:v>
                </c:pt>
                <c:pt idx="1">
                  <c:v>8.5399999999999991</c:v>
                </c:pt>
                <c:pt idx="2">
                  <c:v>8.76</c:v>
                </c:pt>
                <c:pt idx="3">
                  <c:v>8.5399999999999991</c:v>
                </c:pt>
                <c:pt idx="4">
                  <c:v>9.74</c:v>
                </c:pt>
                <c:pt idx="5">
                  <c:v>9.18</c:v>
                </c:pt>
                <c:pt idx="6">
                  <c:v>8.89</c:v>
                </c:pt>
                <c:pt idx="7">
                  <c:v>8.41</c:v>
                </c:pt>
                <c:pt idx="8">
                  <c:v>9.3800000000000008</c:v>
                </c:pt>
                <c:pt idx="9">
                  <c:v>8.94</c:v>
                </c:pt>
                <c:pt idx="10">
                  <c:v>8.6999999999999993</c:v>
                </c:pt>
                <c:pt idx="11">
                  <c:v>8.49</c:v>
                </c:pt>
                <c:pt idx="12">
                  <c:v>9.44</c:v>
                </c:pt>
                <c:pt idx="13">
                  <c:v>8.9600000000000009</c:v>
                </c:pt>
                <c:pt idx="14">
                  <c:v>8.8699999999999992</c:v>
                </c:pt>
                <c:pt idx="15">
                  <c:v>8.25</c:v>
                </c:pt>
                <c:pt idx="16">
                  <c:v>9.41</c:v>
                </c:pt>
                <c:pt idx="17">
                  <c:v>12.24</c:v>
                </c:pt>
                <c:pt idx="18">
                  <c:v>12.23</c:v>
                </c:pt>
                <c:pt idx="19">
                  <c:v>11.09</c:v>
                </c:pt>
                <c:pt idx="20">
                  <c:v>11.57</c:v>
                </c:pt>
                <c:pt idx="21">
                  <c:v>10.9</c:v>
                </c:pt>
                <c:pt idx="22">
                  <c:v>9.7799999999999994</c:v>
                </c:pt>
                <c:pt idx="23">
                  <c:v>8.48</c:v>
                </c:pt>
                <c:pt idx="24">
                  <c:v>8.69</c:v>
                </c:pt>
                <c:pt idx="25">
                  <c:v>7.45</c:v>
                </c:pt>
                <c:pt idx="26">
                  <c:v>7.24</c:v>
                </c:pt>
                <c:pt idx="27">
                  <c:v>6.59</c:v>
                </c:pt>
                <c:pt idx="28">
                  <c:v>7.2</c:v>
                </c:pt>
                <c:pt idx="29">
                  <c:v>6.63</c:v>
                </c:pt>
                <c:pt idx="30">
                  <c:v>6.4</c:v>
                </c:pt>
                <c:pt idx="31">
                  <c:v>6.15</c:v>
                </c:pt>
                <c:pt idx="32">
                  <c:v>6.78</c:v>
                </c:pt>
                <c:pt idx="33">
                  <c:v>6.15</c:v>
                </c:pt>
              </c:numCache>
            </c:numRef>
          </c:val>
          <c:smooth val="0"/>
          <c:extLst>
            <c:ext xmlns:c16="http://schemas.microsoft.com/office/drawing/2014/chart" uri="{C3380CC4-5D6E-409C-BE32-E72D297353CC}">
              <c16:uniqueId val="{00000002-C20C-47A3-8C9F-D4A421DEFC21}"/>
            </c:ext>
          </c:extLst>
        </c:ser>
        <c:ser>
          <c:idx val="10"/>
          <c:order val="3"/>
          <c:tx>
            <c:strRef>
              <c:f>'Figure 5'!$E$1</c:f>
              <c:strCache>
                <c:ptCount val="1"/>
                <c:pt idx="0">
                  <c:v>Youth Unemployment (LAC)</c:v>
                </c:pt>
              </c:strCache>
            </c:strRef>
          </c:tx>
          <c:spPr>
            <a:ln w="28575" cap="rnd">
              <a:solidFill>
                <a:srgbClr val="002060"/>
              </a:solidFill>
              <a:round/>
            </a:ln>
            <a:effectLst/>
          </c:spPr>
          <c:marker>
            <c:symbol val="none"/>
          </c:marker>
          <c:cat>
            <c:strLit>
              <c:ptCount val="1"/>
              <c:pt idx="0">
                <c:v>#REF!</c:v>
              </c:pt>
            </c:strLit>
          </c:cat>
          <c:val>
            <c:numRef>
              <c:f>'Figure 5'!$E$2:$E$35</c:f>
              <c:numCache>
                <c:formatCode>0.0</c:formatCode>
                <c:ptCount val="34"/>
                <c:pt idx="0">
                  <c:v>20.399999999999999</c:v>
                </c:pt>
                <c:pt idx="1">
                  <c:v>19.37</c:v>
                </c:pt>
                <c:pt idx="2">
                  <c:v>19.649999999999999</c:v>
                </c:pt>
                <c:pt idx="3">
                  <c:v>19.350000000000001</c:v>
                </c:pt>
                <c:pt idx="4">
                  <c:v>21.33</c:v>
                </c:pt>
                <c:pt idx="5">
                  <c:v>20.239999999999998</c:v>
                </c:pt>
                <c:pt idx="6">
                  <c:v>20.14</c:v>
                </c:pt>
                <c:pt idx="7">
                  <c:v>18.940000000000001</c:v>
                </c:pt>
                <c:pt idx="8">
                  <c:v>21.18</c:v>
                </c:pt>
                <c:pt idx="9">
                  <c:v>20.059999999999999</c:v>
                </c:pt>
                <c:pt idx="10">
                  <c:v>19.670000000000002</c:v>
                </c:pt>
                <c:pt idx="11">
                  <c:v>19.309999999999999</c:v>
                </c:pt>
                <c:pt idx="12">
                  <c:v>21.16</c:v>
                </c:pt>
                <c:pt idx="13">
                  <c:v>20.16</c:v>
                </c:pt>
                <c:pt idx="14">
                  <c:v>20.36</c:v>
                </c:pt>
                <c:pt idx="15">
                  <c:v>18.84</c:v>
                </c:pt>
                <c:pt idx="16">
                  <c:v>21.24</c:v>
                </c:pt>
                <c:pt idx="17">
                  <c:v>25.93</c:v>
                </c:pt>
                <c:pt idx="18">
                  <c:v>25.09</c:v>
                </c:pt>
                <c:pt idx="19">
                  <c:v>23.49</c:v>
                </c:pt>
                <c:pt idx="20">
                  <c:v>24.23</c:v>
                </c:pt>
                <c:pt idx="21">
                  <c:v>22.81</c:v>
                </c:pt>
                <c:pt idx="22">
                  <c:v>20.7</c:v>
                </c:pt>
                <c:pt idx="23">
                  <c:v>18.41</c:v>
                </c:pt>
                <c:pt idx="24">
                  <c:v>18.62</c:v>
                </c:pt>
                <c:pt idx="25">
                  <c:v>16.420000000000002</c:v>
                </c:pt>
                <c:pt idx="26">
                  <c:v>16.260000000000002</c:v>
                </c:pt>
                <c:pt idx="27">
                  <c:v>14.87</c:v>
                </c:pt>
                <c:pt idx="28">
                  <c:v>16.04</c:v>
                </c:pt>
                <c:pt idx="29">
                  <c:v>14.75</c:v>
                </c:pt>
                <c:pt idx="30">
                  <c:v>14.63</c:v>
                </c:pt>
                <c:pt idx="31">
                  <c:v>14.24</c:v>
                </c:pt>
                <c:pt idx="32">
                  <c:v>15.26</c:v>
                </c:pt>
                <c:pt idx="33">
                  <c:v>13.98</c:v>
                </c:pt>
              </c:numCache>
            </c:numRef>
          </c:val>
          <c:smooth val="0"/>
          <c:extLst>
            <c:ext xmlns:c16="http://schemas.microsoft.com/office/drawing/2014/chart" uri="{C3380CC4-5D6E-409C-BE32-E72D297353CC}">
              <c16:uniqueId val="{00000003-C20C-47A3-8C9F-D4A421DEFC21}"/>
            </c:ext>
          </c:extLst>
        </c:ser>
        <c:ser>
          <c:idx val="13"/>
          <c:order val="4"/>
          <c:tx>
            <c:strRef>
              <c:f>'Figure 5'!$F$1</c:f>
              <c:strCache>
                <c:ptCount val="1"/>
                <c:pt idx="0">
                  <c:v>NEET (LAC)</c:v>
                </c:pt>
              </c:strCache>
            </c:strRef>
          </c:tx>
          <c:spPr>
            <a:ln w="28575" cap="rnd">
              <a:solidFill>
                <a:schemeClr val="bg2">
                  <a:lumMod val="75000"/>
                </a:schemeClr>
              </a:solidFill>
              <a:round/>
            </a:ln>
            <a:effectLst/>
          </c:spPr>
          <c:marker>
            <c:symbol val="none"/>
          </c:marker>
          <c:cat>
            <c:strLit>
              <c:ptCount val="1"/>
              <c:pt idx="0">
                <c:v>#REF!</c:v>
              </c:pt>
            </c:strLit>
          </c:cat>
          <c:val>
            <c:numRef>
              <c:f>'Figure 5'!$F$2:$F$35</c:f>
              <c:numCache>
                <c:formatCode>0.0</c:formatCode>
                <c:ptCount val="34"/>
                <c:pt idx="0">
                  <c:v>23</c:v>
                </c:pt>
                <c:pt idx="1">
                  <c:v>21.51</c:v>
                </c:pt>
                <c:pt idx="2">
                  <c:v>21.83</c:v>
                </c:pt>
                <c:pt idx="3">
                  <c:v>21.93</c:v>
                </c:pt>
                <c:pt idx="4">
                  <c:v>23.42</c:v>
                </c:pt>
                <c:pt idx="5">
                  <c:v>22.03</c:v>
                </c:pt>
                <c:pt idx="6">
                  <c:v>21.66</c:v>
                </c:pt>
                <c:pt idx="7">
                  <c:v>21.97</c:v>
                </c:pt>
                <c:pt idx="8">
                  <c:v>23.4</c:v>
                </c:pt>
                <c:pt idx="9">
                  <c:v>21.87</c:v>
                </c:pt>
                <c:pt idx="10">
                  <c:v>21.38</c:v>
                </c:pt>
                <c:pt idx="11">
                  <c:v>21.84</c:v>
                </c:pt>
                <c:pt idx="12">
                  <c:v>23.1</c:v>
                </c:pt>
                <c:pt idx="13">
                  <c:v>21.56</c:v>
                </c:pt>
                <c:pt idx="14">
                  <c:v>21.46</c:v>
                </c:pt>
                <c:pt idx="15">
                  <c:v>21.41</c:v>
                </c:pt>
                <c:pt idx="16">
                  <c:v>24.26</c:v>
                </c:pt>
                <c:pt idx="17">
                  <c:v>27.64</c:v>
                </c:pt>
                <c:pt idx="18">
                  <c:v>24.67</c:v>
                </c:pt>
                <c:pt idx="19">
                  <c:v>22.84</c:v>
                </c:pt>
                <c:pt idx="20">
                  <c:v>24.01</c:v>
                </c:pt>
                <c:pt idx="21">
                  <c:v>22.73</c:v>
                </c:pt>
                <c:pt idx="22">
                  <c:v>20.53</c:v>
                </c:pt>
                <c:pt idx="23">
                  <c:v>20.32</c:v>
                </c:pt>
                <c:pt idx="24">
                  <c:v>21.78</c:v>
                </c:pt>
                <c:pt idx="25">
                  <c:v>19.61</c:v>
                </c:pt>
                <c:pt idx="26">
                  <c:v>19.190000000000001</c:v>
                </c:pt>
                <c:pt idx="27">
                  <c:v>18.87</c:v>
                </c:pt>
                <c:pt idx="28">
                  <c:v>20.73</c:v>
                </c:pt>
                <c:pt idx="29">
                  <c:v>19.09</c:v>
                </c:pt>
                <c:pt idx="30">
                  <c:v>18.57</c:v>
                </c:pt>
                <c:pt idx="31">
                  <c:v>18.68</c:v>
                </c:pt>
                <c:pt idx="32">
                  <c:v>19.86</c:v>
                </c:pt>
                <c:pt idx="33">
                  <c:v>18.34</c:v>
                </c:pt>
              </c:numCache>
            </c:numRef>
          </c:val>
          <c:smooth val="0"/>
          <c:extLst>
            <c:ext xmlns:c16="http://schemas.microsoft.com/office/drawing/2014/chart" uri="{C3380CC4-5D6E-409C-BE32-E72D297353CC}">
              <c16:uniqueId val="{00000004-C20C-47A3-8C9F-D4A421DEFC21}"/>
            </c:ext>
          </c:extLst>
        </c:ser>
        <c:dLbls>
          <c:showLegendKey val="0"/>
          <c:showVal val="0"/>
          <c:showCatName val="0"/>
          <c:showSerName val="0"/>
          <c:showPercent val="0"/>
          <c:showBubbleSize val="0"/>
        </c:dLbls>
        <c:marker val="1"/>
        <c:smooth val="0"/>
        <c:axId val="251051376"/>
        <c:axId val="251053776"/>
      </c:lineChart>
      <c:catAx>
        <c:axId val="14069605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crossAx val="1406958143"/>
        <c:crosses val="autoZero"/>
        <c:auto val="1"/>
        <c:lblAlgn val="ctr"/>
        <c:lblOffset val="100"/>
        <c:noMultiLvlLbl val="0"/>
      </c:catAx>
      <c:valAx>
        <c:axId val="1406958143"/>
        <c:scaling>
          <c:orientation val="minMax"/>
          <c:max val="80"/>
          <c:min val="3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a:t>LFP and employment</a:t>
                </a:r>
                <a:r>
                  <a:rPr lang="en-US" sz="1000" baseline="0"/>
                  <a:t> rates</a:t>
                </a:r>
                <a:endParaRPr lang="en-US" sz="1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406960543"/>
        <c:crosses val="autoZero"/>
        <c:crossBetween val="between"/>
      </c:valAx>
      <c:valAx>
        <c:axId val="251053776"/>
        <c:scaling>
          <c:orientation val="minMax"/>
          <c:max val="30"/>
          <c:min val="5"/>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a:t>Unemployment, youth unemployment and NEET rates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51051376"/>
        <c:crosses val="max"/>
        <c:crossBetween val="between"/>
      </c:valAx>
      <c:catAx>
        <c:axId val="251051376"/>
        <c:scaling>
          <c:orientation val="minMax"/>
        </c:scaling>
        <c:delete val="1"/>
        <c:axPos val="b"/>
        <c:numFmt formatCode="General" sourceLinked="1"/>
        <c:majorTickMark val="out"/>
        <c:minorTickMark val="none"/>
        <c:tickLblPos val="nextTo"/>
        <c:crossAx val="251053776"/>
        <c:crosses val="autoZero"/>
        <c:auto val="1"/>
        <c:lblAlgn val="ctr"/>
        <c:lblOffset val="100"/>
        <c:noMultiLvlLbl val="0"/>
      </c:catAx>
      <c:spPr>
        <a:noFill/>
        <a:ln>
          <a:noFill/>
        </a:ln>
        <a:effectLst/>
      </c:spPr>
    </c:plotArea>
    <c:legend>
      <c:legendPos val="tr"/>
      <c:layout>
        <c:manualLayout>
          <c:xMode val="edge"/>
          <c:yMode val="edge"/>
          <c:x val="1.6722419342933136E-2"/>
          <c:y val="0.89883213325003841"/>
          <c:w val="0.91687682438312113"/>
          <c:h val="9.997045440771285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t" anchorCtr="0"/>
          <a:lstStyle/>
          <a:p>
            <a:pPr>
              <a:defRPr sz="1200" b="1" i="0" u="none" strike="noStrike" kern="1200" spc="0" baseline="0">
                <a:solidFill>
                  <a:sysClr val="windowText" lastClr="000000"/>
                </a:solidFill>
                <a:latin typeface="+mn-lt"/>
                <a:ea typeface="+mn-ea"/>
                <a:cs typeface="+mn-cs"/>
              </a:defRPr>
            </a:pPr>
            <a:r>
              <a:rPr lang="en-US" sz="1200" b="1">
                <a:solidFill>
                  <a:sysClr val="windowText" lastClr="000000"/>
                </a:solidFill>
              </a:rPr>
              <a:t>Employment rates by group in LAC</a:t>
            </a:r>
          </a:p>
        </c:rich>
      </c:tx>
      <c:layout>
        <c:manualLayout>
          <c:xMode val="edge"/>
          <c:yMode val="edge"/>
          <c:x val="5.6750982169614002E-2"/>
          <c:y val="4.6115495714345367E-2"/>
        </c:manualLayout>
      </c:layout>
      <c:overlay val="0"/>
      <c:spPr>
        <a:noFill/>
        <a:ln>
          <a:noFill/>
        </a:ln>
        <a:effectLst/>
      </c:spPr>
      <c:txPr>
        <a:bodyPr rot="0" spcFirstLastPara="1" vertOverflow="ellipsis" vert="horz" wrap="square" anchor="t" anchorCtr="0"/>
        <a:lstStyle/>
        <a:p>
          <a:pPr>
            <a:defRPr sz="1200" b="1"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1"/>
          <c:order val="0"/>
          <c:tx>
            <c:strRef>
              <c:f>'Figure 6'!$B$4</c:f>
              <c:strCache>
                <c:ptCount val="1"/>
                <c:pt idx="0">
                  <c:v>2016</c:v>
                </c:pt>
              </c:strCache>
            </c:strRef>
          </c:tx>
          <c:spPr>
            <a:solidFill>
              <a:schemeClr val="accent5">
                <a:lumMod val="20000"/>
                <a:lumOff val="80000"/>
              </a:schemeClr>
            </a:solidFill>
            <a:ln>
              <a:noFill/>
            </a:ln>
            <a:effectLst/>
          </c:spPr>
          <c:invertIfNegative val="0"/>
          <c:cat>
            <c:strRef>
              <c:f>'Figure 6'!$C$2:$N$2</c:f>
              <c:strCache>
                <c:ptCount val="11"/>
                <c:pt idx="0">
                  <c:v>Total</c:v>
                </c:pt>
                <c:pt idx="1">
                  <c:v>Male</c:v>
                </c:pt>
                <c:pt idx="2">
                  <c:v>Female</c:v>
                </c:pt>
                <c:pt idx="3">
                  <c:v>15-24</c:v>
                </c:pt>
                <c:pt idx="4">
                  <c:v>25-44</c:v>
                </c:pt>
                <c:pt idx="5">
                  <c:v>45-54</c:v>
                </c:pt>
                <c:pt idx="6">
                  <c:v>55-64</c:v>
                </c:pt>
                <c:pt idx="7">
                  <c:v>65+</c:v>
                </c:pt>
                <c:pt idx="8">
                  <c:v>Low</c:v>
                </c:pt>
                <c:pt idx="9">
                  <c:v>Middle</c:v>
                </c:pt>
                <c:pt idx="10">
                  <c:v>High</c:v>
                </c:pt>
              </c:strCache>
            </c:strRef>
          </c:cat>
          <c:val>
            <c:numRef>
              <c:f>'Figure 6'!$C$4:$N$4</c:f>
              <c:numCache>
                <c:formatCode>0.0</c:formatCode>
                <c:ptCount val="11"/>
                <c:pt idx="0">
                  <c:v>57.634903102827501</c:v>
                </c:pt>
                <c:pt idx="1">
                  <c:v>70.490361114052746</c:v>
                </c:pt>
                <c:pt idx="2">
                  <c:v>45.743336863284981</c:v>
                </c:pt>
                <c:pt idx="3">
                  <c:v>39.803773165307639</c:v>
                </c:pt>
                <c:pt idx="4">
                  <c:v>74.262599809382621</c:v>
                </c:pt>
                <c:pt idx="5">
                  <c:v>72.319147516679024</c:v>
                </c:pt>
                <c:pt idx="6">
                  <c:v>54.35204913692683</c:v>
                </c:pt>
                <c:pt idx="7">
                  <c:v>20.26936037276289</c:v>
                </c:pt>
                <c:pt idx="8">
                  <c:v>48.932234459387907</c:v>
                </c:pt>
                <c:pt idx="9">
                  <c:v>64.154570581383041</c:v>
                </c:pt>
                <c:pt idx="10">
                  <c:v>77.518996081753684</c:v>
                </c:pt>
              </c:numCache>
            </c:numRef>
          </c:val>
          <c:extLst>
            <c:ext xmlns:c16="http://schemas.microsoft.com/office/drawing/2014/chart" uri="{C3380CC4-5D6E-409C-BE32-E72D297353CC}">
              <c16:uniqueId val="{00000000-81E3-4BFC-9DD2-FEB8A18BFA55}"/>
            </c:ext>
          </c:extLst>
        </c:ser>
        <c:ser>
          <c:idx val="6"/>
          <c:order val="1"/>
          <c:tx>
            <c:strRef>
              <c:f>'Figure 6'!$B$8</c:f>
              <c:strCache>
                <c:ptCount val="1"/>
                <c:pt idx="0">
                  <c:v>2019</c:v>
                </c:pt>
              </c:strCache>
            </c:strRef>
          </c:tx>
          <c:spPr>
            <a:solidFill>
              <a:schemeClr val="accent5">
                <a:lumMod val="40000"/>
                <a:lumOff val="60000"/>
              </a:schemeClr>
            </a:solidFill>
            <a:ln>
              <a:noFill/>
            </a:ln>
            <a:effectLst/>
          </c:spPr>
          <c:invertIfNegative val="0"/>
          <c:cat>
            <c:strRef>
              <c:f>'Figure 6'!$C$2:$N$2</c:f>
              <c:strCache>
                <c:ptCount val="11"/>
                <c:pt idx="0">
                  <c:v>Total</c:v>
                </c:pt>
                <c:pt idx="1">
                  <c:v>Male</c:v>
                </c:pt>
                <c:pt idx="2">
                  <c:v>Female</c:v>
                </c:pt>
                <c:pt idx="3">
                  <c:v>15-24</c:v>
                </c:pt>
                <c:pt idx="4">
                  <c:v>25-44</c:v>
                </c:pt>
                <c:pt idx="5">
                  <c:v>45-54</c:v>
                </c:pt>
                <c:pt idx="6">
                  <c:v>55-64</c:v>
                </c:pt>
                <c:pt idx="7">
                  <c:v>65+</c:v>
                </c:pt>
                <c:pt idx="8">
                  <c:v>Low</c:v>
                </c:pt>
                <c:pt idx="9">
                  <c:v>Middle</c:v>
                </c:pt>
                <c:pt idx="10">
                  <c:v>High</c:v>
                </c:pt>
              </c:strCache>
            </c:strRef>
          </c:cat>
          <c:val>
            <c:numRef>
              <c:f>'Figure 6'!$C$8:$N$8</c:f>
              <c:numCache>
                <c:formatCode>0.0</c:formatCode>
                <c:ptCount val="11"/>
                <c:pt idx="0">
                  <c:v>57.873920643431639</c:v>
                </c:pt>
                <c:pt idx="1">
                  <c:v>69.803454155495984</c:v>
                </c:pt>
                <c:pt idx="2">
                  <c:v>46.841337265415547</c:v>
                </c:pt>
                <c:pt idx="3">
                  <c:v>40.021329758713136</c:v>
                </c:pt>
                <c:pt idx="4">
                  <c:v>74.657463806970512</c:v>
                </c:pt>
                <c:pt idx="5">
                  <c:v>72.916633780160851</c:v>
                </c:pt>
                <c:pt idx="6">
                  <c:v>54.672159785522787</c:v>
                </c:pt>
                <c:pt idx="7">
                  <c:v>21.06836568364611</c:v>
                </c:pt>
                <c:pt idx="8">
                  <c:v>47.929969973190353</c:v>
                </c:pt>
                <c:pt idx="9">
                  <c:v>64.265679356568356</c:v>
                </c:pt>
                <c:pt idx="10">
                  <c:v>77.147648257372666</c:v>
                </c:pt>
              </c:numCache>
            </c:numRef>
          </c:val>
          <c:extLst>
            <c:ext xmlns:c16="http://schemas.microsoft.com/office/drawing/2014/chart" uri="{C3380CC4-5D6E-409C-BE32-E72D297353CC}">
              <c16:uniqueId val="{00000001-81E3-4BFC-9DD2-FEB8A18BFA55}"/>
            </c:ext>
          </c:extLst>
        </c:ser>
        <c:ser>
          <c:idx val="11"/>
          <c:order val="2"/>
          <c:tx>
            <c:strRef>
              <c:f>'Figure 6'!$B$12</c:f>
              <c:strCache>
                <c:ptCount val="1"/>
                <c:pt idx="0">
                  <c:v>2023</c:v>
                </c:pt>
              </c:strCache>
            </c:strRef>
          </c:tx>
          <c:spPr>
            <a:solidFill>
              <a:schemeClr val="accent5">
                <a:lumMod val="60000"/>
                <a:lumOff val="40000"/>
              </a:schemeClr>
            </a:solidFill>
            <a:ln>
              <a:noFill/>
            </a:ln>
            <a:effectLst/>
          </c:spPr>
          <c:invertIfNegative val="0"/>
          <c:cat>
            <c:strRef>
              <c:f>'Figure 6'!$C$2:$N$2</c:f>
              <c:strCache>
                <c:ptCount val="11"/>
                <c:pt idx="0">
                  <c:v>Total</c:v>
                </c:pt>
                <c:pt idx="1">
                  <c:v>Male</c:v>
                </c:pt>
                <c:pt idx="2">
                  <c:v>Female</c:v>
                </c:pt>
                <c:pt idx="3">
                  <c:v>15-24</c:v>
                </c:pt>
                <c:pt idx="4">
                  <c:v>25-44</c:v>
                </c:pt>
                <c:pt idx="5">
                  <c:v>45-54</c:v>
                </c:pt>
                <c:pt idx="6">
                  <c:v>55-64</c:v>
                </c:pt>
                <c:pt idx="7">
                  <c:v>65+</c:v>
                </c:pt>
                <c:pt idx="8">
                  <c:v>Low</c:v>
                </c:pt>
                <c:pt idx="9">
                  <c:v>Middle</c:v>
                </c:pt>
                <c:pt idx="10">
                  <c:v>High</c:v>
                </c:pt>
              </c:strCache>
            </c:strRef>
          </c:cat>
          <c:val>
            <c:numRef>
              <c:f>'Figure 6'!$C$12:$N$12</c:f>
              <c:numCache>
                <c:formatCode>0.0</c:formatCode>
                <c:ptCount val="11"/>
                <c:pt idx="0">
                  <c:v>58.132992387691658</c:v>
                </c:pt>
                <c:pt idx="1">
                  <c:v>69.858423930524282</c:v>
                </c:pt>
                <c:pt idx="2">
                  <c:v>47.398815267502947</c:v>
                </c:pt>
                <c:pt idx="3">
                  <c:v>41.180303420177978</c:v>
                </c:pt>
                <c:pt idx="4">
                  <c:v>75.747096601265142</c:v>
                </c:pt>
                <c:pt idx="5">
                  <c:v>72.970559665487301</c:v>
                </c:pt>
                <c:pt idx="6">
                  <c:v>54.995733890854517</c:v>
                </c:pt>
                <c:pt idx="7">
                  <c:v>19.617112683606731</c:v>
                </c:pt>
                <c:pt idx="8">
                  <c:v>46.143809370644369</c:v>
                </c:pt>
                <c:pt idx="9">
                  <c:v>64.09802937707731</c:v>
                </c:pt>
                <c:pt idx="10">
                  <c:v>77.80575104535221</c:v>
                </c:pt>
              </c:numCache>
            </c:numRef>
          </c:val>
          <c:extLst>
            <c:ext xmlns:c16="http://schemas.microsoft.com/office/drawing/2014/chart" uri="{C3380CC4-5D6E-409C-BE32-E72D297353CC}">
              <c16:uniqueId val="{00000002-81E3-4BFC-9DD2-FEB8A18BFA55}"/>
            </c:ext>
          </c:extLst>
        </c:ser>
        <c:ser>
          <c:idx val="15"/>
          <c:order val="3"/>
          <c:tx>
            <c:strRef>
              <c:f>'Figure 6'!$B$16</c:f>
              <c:strCache>
                <c:ptCount val="1"/>
                <c:pt idx="0">
                  <c:v>2024</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6'!$C$2:$N$2</c:f>
              <c:strCache>
                <c:ptCount val="11"/>
                <c:pt idx="0">
                  <c:v>Total</c:v>
                </c:pt>
                <c:pt idx="1">
                  <c:v>Male</c:v>
                </c:pt>
                <c:pt idx="2">
                  <c:v>Female</c:v>
                </c:pt>
                <c:pt idx="3">
                  <c:v>15-24</c:v>
                </c:pt>
                <c:pt idx="4">
                  <c:v>25-44</c:v>
                </c:pt>
                <c:pt idx="5">
                  <c:v>45-54</c:v>
                </c:pt>
                <c:pt idx="6">
                  <c:v>55-64</c:v>
                </c:pt>
                <c:pt idx="7">
                  <c:v>65+</c:v>
                </c:pt>
                <c:pt idx="8">
                  <c:v>Low</c:v>
                </c:pt>
                <c:pt idx="9">
                  <c:v>Middle</c:v>
                </c:pt>
                <c:pt idx="10">
                  <c:v>High</c:v>
                </c:pt>
              </c:strCache>
            </c:strRef>
          </c:cat>
          <c:val>
            <c:numRef>
              <c:f>'Figure 6'!$C$16:$N$16</c:f>
              <c:numCache>
                <c:formatCode>0.0</c:formatCode>
                <c:ptCount val="11"/>
                <c:pt idx="0">
                  <c:v>58.86044434903939</c:v>
                </c:pt>
                <c:pt idx="1">
                  <c:v>70.6694397338199</c:v>
                </c:pt>
                <c:pt idx="2">
                  <c:v>48.072903295052058</c:v>
                </c:pt>
                <c:pt idx="3">
                  <c:v>42.034090372437483</c:v>
                </c:pt>
                <c:pt idx="4">
                  <c:v>76.691538048728134</c:v>
                </c:pt>
                <c:pt idx="5">
                  <c:v>73.966463453901468</c:v>
                </c:pt>
                <c:pt idx="6">
                  <c:v>56.01883116883117</c:v>
                </c:pt>
                <c:pt idx="7">
                  <c:v>19.945782977353229</c:v>
                </c:pt>
                <c:pt idx="8">
                  <c:v>46.264390898357838</c:v>
                </c:pt>
                <c:pt idx="9">
                  <c:v>64.836037351078673</c:v>
                </c:pt>
                <c:pt idx="10">
                  <c:v>78.127681657185789</c:v>
                </c:pt>
              </c:numCache>
            </c:numRef>
          </c:val>
          <c:extLst>
            <c:ext xmlns:c16="http://schemas.microsoft.com/office/drawing/2014/chart" uri="{C3380CC4-5D6E-409C-BE32-E72D297353CC}">
              <c16:uniqueId val="{00000003-81E3-4BFC-9DD2-FEB8A18BFA55}"/>
            </c:ext>
          </c:extLst>
        </c:ser>
        <c:dLbls>
          <c:showLegendKey val="0"/>
          <c:showVal val="0"/>
          <c:showCatName val="0"/>
          <c:showSerName val="0"/>
          <c:showPercent val="0"/>
          <c:showBubbleSize val="0"/>
        </c:dLbls>
        <c:gapWidth val="219"/>
        <c:overlap val="-27"/>
        <c:axId val="614650015"/>
        <c:axId val="614664415"/>
        <c:extLst/>
      </c:barChart>
      <c:catAx>
        <c:axId val="614650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14664415"/>
        <c:crosses val="autoZero"/>
        <c:auto val="1"/>
        <c:lblAlgn val="ctr"/>
        <c:lblOffset val="100"/>
        <c:noMultiLvlLbl val="0"/>
      </c:catAx>
      <c:valAx>
        <c:axId val="6146644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percentage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650015"/>
        <c:crosses val="autoZero"/>
        <c:crossBetween val="between"/>
      </c:valAx>
      <c:spPr>
        <a:noFill/>
        <a:ln>
          <a:noFill/>
        </a:ln>
        <a:effectLst/>
      </c:spPr>
    </c:plotArea>
    <c:legend>
      <c:legendPos val="t"/>
      <c:layout>
        <c:manualLayout>
          <c:xMode val="edge"/>
          <c:yMode val="edge"/>
          <c:x val="0.70594787121228542"/>
          <c:y val="0.1249268778901616"/>
          <c:w val="0.25627105116249871"/>
          <c:h val="7.782044368916704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sz="1200" b="1">
                <a:solidFill>
                  <a:sysClr val="windowText" lastClr="000000"/>
                </a:solidFill>
              </a:rPr>
              <a:t>Annualized employment growth</a:t>
            </a:r>
          </a:p>
        </c:rich>
      </c:tx>
      <c:layout>
        <c:manualLayout>
          <c:xMode val="edge"/>
          <c:yMode val="edge"/>
          <c:x val="2.4576557978228972E-2"/>
          <c:y val="3.1942342012363727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v>#REF!</c:v>
          </c:tx>
          <c:spPr>
            <a:solidFill>
              <a:schemeClr val="accent1"/>
            </a:solidFill>
            <a:ln>
              <a:noFill/>
            </a:ln>
            <a:effectLst/>
          </c:spPr>
          <c:invertIfNegative val="0"/>
          <c:cat>
            <c:strLit>
              <c:ptCount val="11"/>
              <c:pt idx="0">
                <c:v>Total Total</c:v>
              </c:pt>
              <c:pt idx="1">
                <c:v>Gender Male</c:v>
              </c:pt>
              <c:pt idx="2">
                <c:v>Gender Female</c:v>
              </c:pt>
              <c:pt idx="3">
                <c:v>Age 15-24</c:v>
              </c:pt>
              <c:pt idx="4">
                <c:v>Age 25-44</c:v>
              </c:pt>
              <c:pt idx="5">
                <c:v>Age 45-54</c:v>
              </c:pt>
              <c:pt idx="6">
                <c:v>Age 55-64</c:v>
              </c:pt>
              <c:pt idx="7">
                <c:v>Age 65+</c:v>
              </c:pt>
              <c:pt idx="8">
                <c:v>Skill level Low</c:v>
              </c:pt>
              <c:pt idx="9">
                <c:v>Skill level Middle</c:v>
              </c:pt>
              <c:pt idx="10">
                <c:v>Skill level High</c:v>
              </c:pt>
            </c:strLit>
          </c:cat>
          <c:val>
            <c:numRef>
              <c:f>{}</c:f>
            </c:numRef>
          </c:val>
          <c:extLst>
            <c:ext xmlns:c16="http://schemas.microsoft.com/office/drawing/2014/chart" uri="{C3380CC4-5D6E-409C-BE32-E72D297353CC}">
              <c16:uniqueId val="{00000000-39E6-4967-BACF-39B0119849AC}"/>
            </c:ext>
          </c:extLst>
        </c:ser>
        <c:ser>
          <c:idx val="2"/>
          <c:order val="1"/>
          <c:tx>
            <c:v>#REF!</c:v>
          </c:tx>
          <c:spPr>
            <a:solidFill>
              <a:schemeClr val="accent3"/>
            </a:solidFill>
            <a:ln>
              <a:noFill/>
            </a:ln>
            <a:effectLst/>
          </c:spPr>
          <c:invertIfNegative val="0"/>
          <c:cat>
            <c:strLit>
              <c:ptCount val="11"/>
              <c:pt idx="0">
                <c:v>Total Total</c:v>
              </c:pt>
              <c:pt idx="1">
                <c:v>Gender Male</c:v>
              </c:pt>
              <c:pt idx="2">
                <c:v>Gender Female</c:v>
              </c:pt>
              <c:pt idx="3">
                <c:v>Age 15-24</c:v>
              </c:pt>
              <c:pt idx="4">
                <c:v>Age 25-44</c:v>
              </c:pt>
              <c:pt idx="5">
                <c:v>Age 45-54</c:v>
              </c:pt>
              <c:pt idx="6">
                <c:v>Age 55-64</c:v>
              </c:pt>
              <c:pt idx="7">
                <c:v>Age 65+</c:v>
              </c:pt>
              <c:pt idx="8">
                <c:v>Skill level Low</c:v>
              </c:pt>
              <c:pt idx="9">
                <c:v>Skill level Middle</c:v>
              </c:pt>
              <c:pt idx="10">
                <c:v>Skill level High</c:v>
              </c:pt>
            </c:strLit>
          </c:cat>
          <c:val>
            <c:numRef>
              <c:f>{}</c:f>
            </c:numRef>
          </c:val>
          <c:extLst>
            <c:ext xmlns:c16="http://schemas.microsoft.com/office/drawing/2014/chart" uri="{C3380CC4-5D6E-409C-BE32-E72D297353CC}">
              <c16:uniqueId val="{00000001-39E6-4967-BACF-39B0119849AC}"/>
            </c:ext>
          </c:extLst>
        </c:ser>
        <c:ser>
          <c:idx val="3"/>
          <c:order val="2"/>
          <c:tx>
            <c:v>#REF!</c:v>
          </c:tx>
          <c:spPr>
            <a:solidFill>
              <a:schemeClr val="accent4"/>
            </a:solidFill>
            <a:ln>
              <a:noFill/>
            </a:ln>
            <a:effectLst/>
          </c:spPr>
          <c:invertIfNegative val="0"/>
          <c:cat>
            <c:strLit>
              <c:ptCount val="11"/>
              <c:pt idx="0">
                <c:v>Total Total</c:v>
              </c:pt>
              <c:pt idx="1">
                <c:v>Gender Male</c:v>
              </c:pt>
              <c:pt idx="2">
                <c:v>Gender Female</c:v>
              </c:pt>
              <c:pt idx="3">
                <c:v>Age 15-24</c:v>
              </c:pt>
              <c:pt idx="4">
                <c:v>Age 25-44</c:v>
              </c:pt>
              <c:pt idx="5">
                <c:v>Age 45-54</c:v>
              </c:pt>
              <c:pt idx="6">
                <c:v>Age 55-64</c:v>
              </c:pt>
              <c:pt idx="7">
                <c:v>Age 65+</c:v>
              </c:pt>
              <c:pt idx="8">
                <c:v>Skill level Low</c:v>
              </c:pt>
              <c:pt idx="9">
                <c:v>Skill level Middle</c:v>
              </c:pt>
              <c:pt idx="10">
                <c:v>Skill level High</c:v>
              </c:pt>
            </c:strLit>
          </c:cat>
          <c:val>
            <c:numRef>
              <c:f>{}</c:f>
            </c:numRef>
          </c:val>
          <c:extLst>
            <c:ext xmlns:c16="http://schemas.microsoft.com/office/drawing/2014/chart" uri="{C3380CC4-5D6E-409C-BE32-E72D297353CC}">
              <c16:uniqueId val="{00000002-39E6-4967-BACF-39B0119849AC}"/>
            </c:ext>
          </c:extLst>
        </c:ser>
        <c:ser>
          <c:idx val="4"/>
          <c:order val="3"/>
          <c:tx>
            <c:v>#REF!</c:v>
          </c:tx>
          <c:spPr>
            <a:solidFill>
              <a:schemeClr val="accent5"/>
            </a:solidFill>
            <a:ln>
              <a:noFill/>
            </a:ln>
            <a:effectLst/>
          </c:spPr>
          <c:invertIfNegative val="0"/>
          <c:cat>
            <c:strLit>
              <c:ptCount val="11"/>
              <c:pt idx="0">
                <c:v>Total Total</c:v>
              </c:pt>
              <c:pt idx="1">
                <c:v>Gender Male</c:v>
              </c:pt>
              <c:pt idx="2">
                <c:v>Gender Female</c:v>
              </c:pt>
              <c:pt idx="3">
                <c:v>Age 15-24</c:v>
              </c:pt>
              <c:pt idx="4">
                <c:v>Age 25-44</c:v>
              </c:pt>
              <c:pt idx="5">
                <c:v>Age 45-54</c:v>
              </c:pt>
              <c:pt idx="6">
                <c:v>Age 55-64</c:v>
              </c:pt>
              <c:pt idx="7">
                <c:v>Age 65+</c:v>
              </c:pt>
              <c:pt idx="8">
                <c:v>Skill level Low</c:v>
              </c:pt>
              <c:pt idx="9">
                <c:v>Skill level Middle</c:v>
              </c:pt>
              <c:pt idx="10">
                <c:v>Skill level High</c:v>
              </c:pt>
            </c:strLit>
          </c:cat>
          <c:val>
            <c:numRef>
              <c:f>{}</c:f>
            </c:numRef>
          </c:val>
          <c:extLst>
            <c:ext xmlns:c16="http://schemas.microsoft.com/office/drawing/2014/chart" uri="{C3380CC4-5D6E-409C-BE32-E72D297353CC}">
              <c16:uniqueId val="{00000003-39E6-4967-BACF-39B0119849AC}"/>
            </c:ext>
          </c:extLst>
        </c:ser>
        <c:ser>
          <c:idx val="6"/>
          <c:order val="4"/>
          <c:tx>
            <c:v>#REF!</c:v>
          </c:tx>
          <c:spPr>
            <a:solidFill>
              <a:schemeClr val="accent1">
                <a:lumMod val="60000"/>
              </a:schemeClr>
            </a:solidFill>
            <a:ln>
              <a:noFill/>
            </a:ln>
            <a:effectLst/>
          </c:spPr>
          <c:invertIfNegative val="0"/>
          <c:cat>
            <c:strLit>
              <c:ptCount val="11"/>
              <c:pt idx="0">
                <c:v>Total Total</c:v>
              </c:pt>
              <c:pt idx="1">
                <c:v>Gender Male</c:v>
              </c:pt>
              <c:pt idx="2">
                <c:v>Gender Female</c:v>
              </c:pt>
              <c:pt idx="3">
                <c:v>Age 15-24</c:v>
              </c:pt>
              <c:pt idx="4">
                <c:v>Age 25-44</c:v>
              </c:pt>
              <c:pt idx="5">
                <c:v>Age 45-54</c:v>
              </c:pt>
              <c:pt idx="6">
                <c:v>Age 55-64</c:v>
              </c:pt>
              <c:pt idx="7">
                <c:v>Age 65+</c:v>
              </c:pt>
              <c:pt idx="8">
                <c:v>Skill level Low</c:v>
              </c:pt>
              <c:pt idx="9">
                <c:v>Skill level Middle</c:v>
              </c:pt>
              <c:pt idx="10">
                <c:v>Skill level High</c:v>
              </c:pt>
            </c:strLit>
          </c:cat>
          <c:val>
            <c:numRef>
              <c:f>{}</c:f>
            </c:numRef>
          </c:val>
          <c:extLst>
            <c:ext xmlns:c16="http://schemas.microsoft.com/office/drawing/2014/chart" uri="{C3380CC4-5D6E-409C-BE32-E72D297353CC}">
              <c16:uniqueId val="{00000004-39E6-4967-BACF-39B0119849AC}"/>
            </c:ext>
          </c:extLst>
        </c:ser>
        <c:ser>
          <c:idx val="7"/>
          <c:order val="5"/>
          <c:tx>
            <c:v>#REF!</c:v>
          </c:tx>
          <c:spPr>
            <a:solidFill>
              <a:schemeClr val="accent2">
                <a:lumMod val="60000"/>
              </a:schemeClr>
            </a:solidFill>
            <a:ln>
              <a:noFill/>
            </a:ln>
            <a:effectLst/>
          </c:spPr>
          <c:invertIfNegative val="0"/>
          <c:cat>
            <c:strLit>
              <c:ptCount val="11"/>
              <c:pt idx="0">
                <c:v>Total Total</c:v>
              </c:pt>
              <c:pt idx="1">
                <c:v>Gender Male</c:v>
              </c:pt>
              <c:pt idx="2">
                <c:v>Gender Female</c:v>
              </c:pt>
              <c:pt idx="3">
                <c:v>Age 15-24</c:v>
              </c:pt>
              <c:pt idx="4">
                <c:v>Age 25-44</c:v>
              </c:pt>
              <c:pt idx="5">
                <c:v>Age 45-54</c:v>
              </c:pt>
              <c:pt idx="6">
                <c:v>Age 55-64</c:v>
              </c:pt>
              <c:pt idx="7">
                <c:v>Age 65+</c:v>
              </c:pt>
              <c:pt idx="8">
                <c:v>Skill level Low</c:v>
              </c:pt>
              <c:pt idx="9">
                <c:v>Skill level Middle</c:v>
              </c:pt>
              <c:pt idx="10">
                <c:v>Skill level High</c:v>
              </c:pt>
            </c:strLit>
          </c:cat>
          <c:val>
            <c:numRef>
              <c:f>{}</c:f>
            </c:numRef>
          </c:val>
          <c:extLst>
            <c:ext xmlns:c16="http://schemas.microsoft.com/office/drawing/2014/chart" uri="{C3380CC4-5D6E-409C-BE32-E72D297353CC}">
              <c16:uniqueId val="{00000005-39E6-4967-BACF-39B0119849AC}"/>
            </c:ext>
          </c:extLst>
        </c:ser>
        <c:ser>
          <c:idx val="8"/>
          <c:order val="6"/>
          <c:tx>
            <c:v>#REF!</c:v>
          </c:tx>
          <c:spPr>
            <a:solidFill>
              <a:schemeClr val="accent3">
                <a:lumMod val="60000"/>
              </a:schemeClr>
            </a:solidFill>
            <a:ln>
              <a:noFill/>
            </a:ln>
            <a:effectLst/>
          </c:spPr>
          <c:invertIfNegative val="0"/>
          <c:cat>
            <c:strLit>
              <c:ptCount val="11"/>
              <c:pt idx="0">
                <c:v>Total Total</c:v>
              </c:pt>
              <c:pt idx="1">
                <c:v>Gender Male</c:v>
              </c:pt>
              <c:pt idx="2">
                <c:v>Gender Female</c:v>
              </c:pt>
              <c:pt idx="3">
                <c:v>Age 15-24</c:v>
              </c:pt>
              <c:pt idx="4">
                <c:v>Age 25-44</c:v>
              </c:pt>
              <c:pt idx="5">
                <c:v>Age 45-54</c:v>
              </c:pt>
              <c:pt idx="6">
                <c:v>Age 55-64</c:v>
              </c:pt>
              <c:pt idx="7">
                <c:v>Age 65+</c:v>
              </c:pt>
              <c:pt idx="8">
                <c:v>Skill level Low</c:v>
              </c:pt>
              <c:pt idx="9">
                <c:v>Skill level Middle</c:v>
              </c:pt>
              <c:pt idx="10">
                <c:v>Skill level High</c:v>
              </c:pt>
            </c:strLit>
          </c:cat>
          <c:val>
            <c:numRef>
              <c:f>{}</c:f>
            </c:numRef>
          </c:val>
          <c:extLst>
            <c:ext xmlns:c16="http://schemas.microsoft.com/office/drawing/2014/chart" uri="{C3380CC4-5D6E-409C-BE32-E72D297353CC}">
              <c16:uniqueId val="{00000006-39E6-4967-BACF-39B0119849AC}"/>
            </c:ext>
          </c:extLst>
        </c:ser>
        <c:ser>
          <c:idx val="10"/>
          <c:order val="7"/>
          <c:tx>
            <c:v>#REF!</c:v>
          </c:tx>
          <c:spPr>
            <a:solidFill>
              <a:schemeClr val="accent5">
                <a:lumMod val="60000"/>
              </a:schemeClr>
            </a:solidFill>
            <a:ln>
              <a:noFill/>
            </a:ln>
            <a:effectLst/>
          </c:spPr>
          <c:invertIfNegative val="0"/>
          <c:cat>
            <c:strLit>
              <c:ptCount val="11"/>
              <c:pt idx="0">
                <c:v>Total Total</c:v>
              </c:pt>
              <c:pt idx="1">
                <c:v>Gender Male</c:v>
              </c:pt>
              <c:pt idx="2">
                <c:v>Gender Female</c:v>
              </c:pt>
              <c:pt idx="3">
                <c:v>Age 15-24</c:v>
              </c:pt>
              <c:pt idx="4">
                <c:v>Age 25-44</c:v>
              </c:pt>
              <c:pt idx="5">
                <c:v>Age 45-54</c:v>
              </c:pt>
              <c:pt idx="6">
                <c:v>Age 55-64</c:v>
              </c:pt>
              <c:pt idx="7">
                <c:v>Age 65+</c:v>
              </c:pt>
              <c:pt idx="8">
                <c:v>Skill level Low</c:v>
              </c:pt>
              <c:pt idx="9">
                <c:v>Skill level Middle</c:v>
              </c:pt>
              <c:pt idx="10">
                <c:v>Skill level High</c:v>
              </c:pt>
            </c:strLit>
          </c:cat>
          <c:val>
            <c:numRef>
              <c:f>{}</c:f>
            </c:numRef>
          </c:val>
          <c:extLst>
            <c:ext xmlns:c16="http://schemas.microsoft.com/office/drawing/2014/chart" uri="{C3380CC4-5D6E-409C-BE32-E72D297353CC}">
              <c16:uniqueId val="{00000007-39E6-4967-BACF-39B0119849AC}"/>
            </c:ext>
          </c:extLst>
        </c:ser>
        <c:ser>
          <c:idx val="11"/>
          <c:order val="8"/>
          <c:tx>
            <c:v>#REF!</c:v>
          </c:tx>
          <c:spPr>
            <a:solidFill>
              <a:schemeClr val="accent6">
                <a:lumMod val="60000"/>
              </a:schemeClr>
            </a:solidFill>
            <a:ln>
              <a:noFill/>
            </a:ln>
            <a:effectLst/>
          </c:spPr>
          <c:invertIfNegative val="0"/>
          <c:cat>
            <c:strLit>
              <c:ptCount val="11"/>
              <c:pt idx="0">
                <c:v>Total Total</c:v>
              </c:pt>
              <c:pt idx="1">
                <c:v>Gender Male</c:v>
              </c:pt>
              <c:pt idx="2">
                <c:v>Gender Female</c:v>
              </c:pt>
              <c:pt idx="3">
                <c:v>Age 15-24</c:v>
              </c:pt>
              <c:pt idx="4">
                <c:v>Age 25-44</c:v>
              </c:pt>
              <c:pt idx="5">
                <c:v>Age 45-54</c:v>
              </c:pt>
              <c:pt idx="6">
                <c:v>Age 55-64</c:v>
              </c:pt>
              <c:pt idx="7">
                <c:v>Age 65+</c:v>
              </c:pt>
              <c:pt idx="8">
                <c:v>Skill level Low</c:v>
              </c:pt>
              <c:pt idx="9">
                <c:v>Skill level Middle</c:v>
              </c:pt>
              <c:pt idx="10">
                <c:v>Skill level High</c:v>
              </c:pt>
            </c:strLit>
          </c:cat>
          <c:val>
            <c:numRef>
              <c:f>{}</c:f>
            </c:numRef>
          </c:val>
          <c:extLst>
            <c:ext xmlns:c16="http://schemas.microsoft.com/office/drawing/2014/chart" uri="{C3380CC4-5D6E-409C-BE32-E72D297353CC}">
              <c16:uniqueId val="{00000008-39E6-4967-BACF-39B0119849AC}"/>
            </c:ext>
          </c:extLst>
        </c:ser>
        <c:ser>
          <c:idx val="12"/>
          <c:order val="9"/>
          <c:tx>
            <c:v>#REF!</c:v>
          </c:tx>
          <c:spPr>
            <a:solidFill>
              <a:schemeClr val="accent1">
                <a:lumMod val="80000"/>
                <a:lumOff val="20000"/>
              </a:schemeClr>
            </a:solidFill>
            <a:ln>
              <a:noFill/>
            </a:ln>
            <a:effectLst/>
          </c:spPr>
          <c:invertIfNegative val="0"/>
          <c:cat>
            <c:strLit>
              <c:ptCount val="11"/>
              <c:pt idx="0">
                <c:v>Total Total</c:v>
              </c:pt>
              <c:pt idx="1">
                <c:v>Gender Male</c:v>
              </c:pt>
              <c:pt idx="2">
                <c:v>Gender Female</c:v>
              </c:pt>
              <c:pt idx="3">
                <c:v>Age 15-24</c:v>
              </c:pt>
              <c:pt idx="4">
                <c:v>Age 25-44</c:v>
              </c:pt>
              <c:pt idx="5">
                <c:v>Age 45-54</c:v>
              </c:pt>
              <c:pt idx="6">
                <c:v>Age 55-64</c:v>
              </c:pt>
              <c:pt idx="7">
                <c:v>Age 65+</c:v>
              </c:pt>
              <c:pt idx="8">
                <c:v>Skill level Low</c:v>
              </c:pt>
              <c:pt idx="9">
                <c:v>Skill level Middle</c:v>
              </c:pt>
              <c:pt idx="10">
                <c:v>Skill level High</c:v>
              </c:pt>
            </c:strLit>
          </c:cat>
          <c:val>
            <c:numRef>
              <c:f>{}</c:f>
            </c:numRef>
          </c:val>
          <c:extLst>
            <c:ext xmlns:c16="http://schemas.microsoft.com/office/drawing/2014/chart" uri="{C3380CC4-5D6E-409C-BE32-E72D297353CC}">
              <c16:uniqueId val="{00000009-39E6-4967-BACF-39B0119849AC}"/>
            </c:ext>
          </c:extLst>
        </c:ser>
        <c:ser>
          <c:idx val="14"/>
          <c:order val="10"/>
          <c:tx>
            <c:v>#REF!</c:v>
          </c:tx>
          <c:spPr>
            <a:solidFill>
              <a:schemeClr val="accent3">
                <a:lumMod val="80000"/>
                <a:lumOff val="20000"/>
              </a:schemeClr>
            </a:solidFill>
            <a:ln>
              <a:noFill/>
            </a:ln>
            <a:effectLst/>
          </c:spPr>
          <c:invertIfNegative val="0"/>
          <c:cat>
            <c:strLit>
              <c:ptCount val="11"/>
              <c:pt idx="0">
                <c:v>Total Total</c:v>
              </c:pt>
              <c:pt idx="1">
                <c:v>Gender Male</c:v>
              </c:pt>
              <c:pt idx="2">
                <c:v>Gender Female</c:v>
              </c:pt>
              <c:pt idx="3">
                <c:v>Age 15-24</c:v>
              </c:pt>
              <c:pt idx="4">
                <c:v>Age 25-44</c:v>
              </c:pt>
              <c:pt idx="5">
                <c:v>Age 45-54</c:v>
              </c:pt>
              <c:pt idx="6">
                <c:v>Age 55-64</c:v>
              </c:pt>
              <c:pt idx="7">
                <c:v>Age 65+</c:v>
              </c:pt>
              <c:pt idx="8">
                <c:v>Skill level Low</c:v>
              </c:pt>
              <c:pt idx="9">
                <c:v>Skill level Middle</c:v>
              </c:pt>
              <c:pt idx="10">
                <c:v>Skill level High</c:v>
              </c:pt>
            </c:strLit>
          </c:cat>
          <c:val>
            <c:numRef>
              <c:f>{}</c:f>
            </c:numRef>
          </c:val>
          <c:extLst>
            <c:ext xmlns:c16="http://schemas.microsoft.com/office/drawing/2014/chart" uri="{C3380CC4-5D6E-409C-BE32-E72D297353CC}">
              <c16:uniqueId val="{0000000A-39E6-4967-BACF-39B0119849AC}"/>
            </c:ext>
          </c:extLst>
        </c:ser>
        <c:ser>
          <c:idx val="15"/>
          <c:order val="11"/>
          <c:tx>
            <c:v>#REF!</c:v>
          </c:tx>
          <c:spPr>
            <a:solidFill>
              <a:schemeClr val="accent4">
                <a:lumMod val="80000"/>
                <a:lumOff val="20000"/>
              </a:schemeClr>
            </a:solidFill>
            <a:ln>
              <a:noFill/>
            </a:ln>
            <a:effectLst/>
          </c:spPr>
          <c:invertIfNegative val="0"/>
          <c:cat>
            <c:strLit>
              <c:ptCount val="11"/>
              <c:pt idx="0">
                <c:v>Total Total</c:v>
              </c:pt>
              <c:pt idx="1">
                <c:v>Gender Male</c:v>
              </c:pt>
              <c:pt idx="2">
                <c:v>Gender Female</c:v>
              </c:pt>
              <c:pt idx="3">
                <c:v>Age 15-24</c:v>
              </c:pt>
              <c:pt idx="4">
                <c:v>Age 25-44</c:v>
              </c:pt>
              <c:pt idx="5">
                <c:v>Age 45-54</c:v>
              </c:pt>
              <c:pt idx="6">
                <c:v>Age 55-64</c:v>
              </c:pt>
              <c:pt idx="7">
                <c:v>Age 65+</c:v>
              </c:pt>
              <c:pt idx="8">
                <c:v>Skill level Low</c:v>
              </c:pt>
              <c:pt idx="9">
                <c:v>Skill level Middle</c:v>
              </c:pt>
              <c:pt idx="10">
                <c:v>Skill level High</c:v>
              </c:pt>
            </c:strLit>
          </c:cat>
          <c:val>
            <c:numRef>
              <c:f>{}</c:f>
            </c:numRef>
          </c:val>
          <c:extLst>
            <c:ext xmlns:c16="http://schemas.microsoft.com/office/drawing/2014/chart" uri="{C3380CC4-5D6E-409C-BE32-E72D297353CC}">
              <c16:uniqueId val="{0000000B-39E6-4967-BACF-39B0119849AC}"/>
            </c:ext>
          </c:extLst>
        </c:ser>
        <c:ser>
          <c:idx val="16"/>
          <c:order val="12"/>
          <c:tx>
            <c:strRef>
              <c:f>'Figure 6'!$B$19</c:f>
              <c:strCache>
                <c:ptCount val="1"/>
                <c:pt idx="0">
                  <c:v>2016-2019</c:v>
                </c:pt>
              </c:strCache>
            </c:strRef>
          </c:tx>
          <c:spPr>
            <a:solidFill>
              <a:srgbClr val="002060">
                <a:alpha val="50000"/>
              </a:srgbClr>
            </a:solidFill>
            <a:ln>
              <a:noFill/>
            </a:ln>
            <a:effectLst/>
          </c:spPr>
          <c:invertIfNegative val="0"/>
          <c:cat>
            <c:multiLvlStrRef>
              <c:f>'Figure 6'!$C$1:$N$2</c:f>
              <c:multiLvlStrCache>
                <c:ptCount val="11"/>
                <c:lvl>
                  <c:pt idx="0">
                    <c:v>Total</c:v>
                  </c:pt>
                  <c:pt idx="1">
                    <c:v>Male</c:v>
                  </c:pt>
                  <c:pt idx="2">
                    <c:v>Female</c:v>
                  </c:pt>
                  <c:pt idx="3">
                    <c:v>15-24</c:v>
                  </c:pt>
                  <c:pt idx="4">
                    <c:v>25-44</c:v>
                  </c:pt>
                  <c:pt idx="5">
                    <c:v>45-54</c:v>
                  </c:pt>
                  <c:pt idx="6">
                    <c:v>55-64</c:v>
                  </c:pt>
                  <c:pt idx="7">
                    <c:v>65+</c:v>
                  </c:pt>
                  <c:pt idx="8">
                    <c:v>Low</c:v>
                  </c:pt>
                  <c:pt idx="9">
                    <c:v>Middle</c:v>
                  </c:pt>
                  <c:pt idx="10">
                    <c:v>High</c:v>
                  </c:pt>
                </c:lvl>
                <c:lvl>
                  <c:pt idx="1">
                    <c:v>Gender</c:v>
                  </c:pt>
                  <c:pt idx="3">
                    <c:v>Age</c:v>
                  </c:pt>
                  <c:pt idx="8">
                    <c:v>Skill level</c:v>
                  </c:pt>
                </c:lvl>
              </c:multiLvlStrCache>
            </c:multiLvlStrRef>
          </c:cat>
          <c:val>
            <c:numRef>
              <c:f>'Figure 6'!$C$19:$N$19</c:f>
              <c:numCache>
                <c:formatCode>0.0</c:formatCode>
                <c:ptCount val="11"/>
                <c:pt idx="0">
                  <c:v>1.6314967646053</c:v>
                </c:pt>
                <c:pt idx="1">
                  <c:v>1.1590739586973871</c:v>
                </c:pt>
                <c:pt idx="2">
                  <c:v>2.2994936673337518</c:v>
                </c:pt>
                <c:pt idx="3">
                  <c:v>-0.25134145482927922</c:v>
                </c:pt>
                <c:pt idx="4">
                  <c:v>1.166930317698589</c:v>
                </c:pt>
                <c:pt idx="5">
                  <c:v>2.1233818714731401</c:v>
                </c:pt>
                <c:pt idx="6">
                  <c:v>3.943500836039493</c:v>
                </c:pt>
                <c:pt idx="7">
                  <c:v>5.7411924188756069</c:v>
                </c:pt>
                <c:pt idx="8">
                  <c:v>-1.1239900247340451</c:v>
                </c:pt>
                <c:pt idx="9">
                  <c:v>3.3494476309837262</c:v>
                </c:pt>
                <c:pt idx="10">
                  <c:v>5.4422432559142031</c:v>
                </c:pt>
              </c:numCache>
            </c:numRef>
          </c:val>
          <c:extLst>
            <c:ext xmlns:c16="http://schemas.microsoft.com/office/drawing/2014/chart" uri="{C3380CC4-5D6E-409C-BE32-E72D297353CC}">
              <c16:uniqueId val="{0000000C-39E6-4967-BACF-39B0119849AC}"/>
            </c:ext>
          </c:extLst>
        </c:ser>
        <c:ser>
          <c:idx val="17"/>
          <c:order val="13"/>
          <c:tx>
            <c:strRef>
              <c:f>'Figure 6'!$B$20</c:f>
              <c:strCache>
                <c:ptCount val="1"/>
                <c:pt idx="0">
                  <c:v>2023-2024</c:v>
                </c:pt>
              </c:strCache>
            </c:strRef>
          </c:tx>
          <c:spPr>
            <a:solidFill>
              <a:srgbClr val="002060">
                <a:alpha val="8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'Figure 6'!$C$1:$N$2</c:f>
              <c:multiLvlStrCache>
                <c:ptCount val="11"/>
                <c:lvl>
                  <c:pt idx="0">
                    <c:v>Total</c:v>
                  </c:pt>
                  <c:pt idx="1">
                    <c:v>Male</c:v>
                  </c:pt>
                  <c:pt idx="2">
                    <c:v>Female</c:v>
                  </c:pt>
                  <c:pt idx="3">
                    <c:v>15-24</c:v>
                  </c:pt>
                  <c:pt idx="4">
                    <c:v>25-44</c:v>
                  </c:pt>
                  <c:pt idx="5">
                    <c:v>45-54</c:v>
                  </c:pt>
                  <c:pt idx="6">
                    <c:v>55-64</c:v>
                  </c:pt>
                  <c:pt idx="7">
                    <c:v>65+</c:v>
                  </c:pt>
                  <c:pt idx="8">
                    <c:v>Low</c:v>
                  </c:pt>
                  <c:pt idx="9">
                    <c:v>Middle</c:v>
                  </c:pt>
                  <c:pt idx="10">
                    <c:v>High</c:v>
                  </c:pt>
                </c:lvl>
                <c:lvl>
                  <c:pt idx="1">
                    <c:v>Gender</c:v>
                  </c:pt>
                  <c:pt idx="3">
                    <c:v>Age</c:v>
                  </c:pt>
                  <c:pt idx="8">
                    <c:v>Skill level</c:v>
                  </c:pt>
                </c:lvl>
              </c:multiLvlStrCache>
            </c:multiLvlStrRef>
          </c:cat>
          <c:val>
            <c:numRef>
              <c:f>'Figure 6'!$C$20:$N$20</c:f>
              <c:numCache>
                <c:formatCode>0.0</c:formatCode>
                <c:ptCount val="11"/>
                <c:pt idx="0">
                  <c:v>2.2368854895233659</c:v>
                </c:pt>
                <c:pt idx="1">
                  <c:v>2.0556595649154019</c:v>
                </c:pt>
                <c:pt idx="2">
                  <c:v>2.4825193863693862</c:v>
                </c:pt>
                <c:pt idx="3">
                  <c:v>0.37456012411316569</c:v>
                </c:pt>
                <c:pt idx="4">
                  <c:v>1.638662122717149</c:v>
                </c:pt>
                <c:pt idx="5">
                  <c:v>3.0558874417869091</c:v>
                </c:pt>
                <c:pt idx="6">
                  <c:v>3.8532593106734851</c:v>
                </c:pt>
                <c:pt idx="7">
                  <c:v>6.5904225214215906</c:v>
                </c:pt>
                <c:pt idx="8">
                  <c:v>-1.1597571748267139</c:v>
                </c:pt>
                <c:pt idx="9">
                  <c:v>3.6652721788155369</c:v>
                </c:pt>
                <c:pt idx="10">
                  <c:v>5.6991573847085419</c:v>
                </c:pt>
              </c:numCache>
            </c:numRef>
          </c:val>
          <c:extLst>
            <c:ext xmlns:c16="http://schemas.microsoft.com/office/drawing/2014/chart" uri="{C3380CC4-5D6E-409C-BE32-E72D297353CC}">
              <c16:uniqueId val="{0000000D-39E6-4967-BACF-39B0119849AC}"/>
            </c:ext>
          </c:extLst>
        </c:ser>
        <c:dLbls>
          <c:showLegendKey val="0"/>
          <c:showVal val="0"/>
          <c:showCatName val="0"/>
          <c:showSerName val="0"/>
          <c:showPercent val="0"/>
          <c:showBubbleSize val="0"/>
        </c:dLbls>
        <c:gapWidth val="219"/>
        <c:overlap val="-27"/>
        <c:axId val="1085486768"/>
        <c:axId val="966218832"/>
      </c:barChart>
      <c:catAx>
        <c:axId val="108548676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66218832"/>
        <c:crosses val="autoZero"/>
        <c:auto val="1"/>
        <c:lblAlgn val="ctr"/>
        <c:lblOffset val="100"/>
        <c:noMultiLvlLbl val="0"/>
      </c:catAx>
      <c:valAx>
        <c:axId val="9662188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Annualized growth (percent)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486768"/>
        <c:crosses val="autoZero"/>
        <c:crossBetween val="between"/>
      </c:valAx>
      <c:spPr>
        <a:noFill/>
        <a:ln>
          <a:noFill/>
        </a:ln>
        <a:effectLst/>
      </c:spPr>
    </c:plotArea>
    <c:legend>
      <c:legendPos val="b"/>
      <c:layout>
        <c:manualLayout>
          <c:xMode val="edge"/>
          <c:yMode val="edge"/>
          <c:x val="0.7010975022409226"/>
          <c:y val="2.9032260095405917E-2"/>
          <c:w val="0.28186415437955809"/>
          <c:h val="0.179923673369331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033778985255409"/>
          <c:y val="1.4116701846271536E-2"/>
          <c:w val="0.89966221014744596"/>
          <c:h val="0.70118207519868214"/>
        </c:manualLayout>
      </c:layout>
      <c:barChart>
        <c:barDir val="col"/>
        <c:grouping val="clustered"/>
        <c:varyColors val="0"/>
        <c:ser>
          <c:idx val="0"/>
          <c:order val="0"/>
          <c:tx>
            <c:v>Initial Value</c:v>
          </c:tx>
          <c:spPr>
            <a:solidFill>
              <a:schemeClr val="accent1"/>
            </a:solidFill>
            <a:ln>
              <a:noFill/>
            </a:ln>
            <a:effectLst/>
          </c:spPr>
          <c:invertIfNegative val="0"/>
          <c:cat>
            <c:strLit>
              <c:ptCount val="20"/>
              <c:pt idx="0">
                <c:v>Bolivia</c:v>
              </c:pt>
              <c:pt idx="1">
                <c:v>El Salvador</c:v>
              </c:pt>
              <c:pt idx="2">
                <c:v>Argentina</c:v>
              </c:pt>
              <c:pt idx="3">
                <c:v>South Asia</c:v>
              </c:pt>
              <c:pt idx="4">
                <c:v>Dominican Republic</c:v>
              </c:pt>
              <c:pt idx="5">
                <c:v>Brazil</c:v>
              </c:pt>
              <c:pt idx="6">
                <c:v>Chile</c:v>
              </c:pt>
              <c:pt idx="7">
                <c:v>High Income</c:v>
              </c:pt>
              <c:pt idx="8">
                <c:v>Colombia</c:v>
              </c:pt>
              <c:pt idx="9">
                <c:v>Mexico</c:v>
              </c:pt>
              <c:pt idx="10">
                <c:v>LAC</c:v>
              </c:pt>
              <c:pt idx="11">
                <c:v>Europe &amp; Central Asia</c:v>
              </c:pt>
              <c:pt idx="12">
                <c:v>Paraguay</c:v>
              </c:pt>
              <c:pt idx="13">
                <c:v>Ecuador</c:v>
              </c:pt>
              <c:pt idx="14">
                <c:v>Peru</c:v>
              </c:pt>
              <c:pt idx="15">
                <c:v>Sub-Saharan Africa</c:v>
              </c:pt>
              <c:pt idx="16">
                <c:v>Costa Rica</c:v>
              </c:pt>
              <c:pt idx="17">
                <c:v>Uruguay</c:v>
              </c:pt>
              <c:pt idx="18">
                <c:v>Middle East &amp; North Africa</c:v>
              </c:pt>
              <c:pt idx="19">
                <c:v>East Asia &amp; Pacific</c:v>
              </c:pt>
            </c:strLit>
          </c:cat>
          <c:val>
            <c:numRef>
              <c:f>{}</c:f>
            </c:numRef>
          </c:val>
          <c:extLst>
            <c:ext xmlns:c16="http://schemas.microsoft.com/office/drawing/2014/chart" uri="{C3380CC4-5D6E-409C-BE32-E72D297353CC}">
              <c16:uniqueId val="{00000000-F4DB-4D56-88BB-C1D8CCE25219}"/>
            </c:ext>
          </c:extLst>
        </c:ser>
        <c:ser>
          <c:idx val="3"/>
          <c:order val="3"/>
          <c:tx>
            <c:v>Period 2016-2019</c:v>
          </c:tx>
          <c:spPr>
            <a:solidFill>
              <a:schemeClr val="accent4"/>
            </a:solidFill>
            <a:ln>
              <a:noFill/>
            </a:ln>
            <a:effectLst/>
          </c:spPr>
          <c:invertIfNegative val="0"/>
          <c:cat>
            <c:strLit>
              <c:ptCount val="20"/>
              <c:pt idx="0">
                <c:v>Bolivia</c:v>
              </c:pt>
              <c:pt idx="1">
                <c:v>El Salvador</c:v>
              </c:pt>
              <c:pt idx="2">
                <c:v>Argentina</c:v>
              </c:pt>
              <c:pt idx="3">
                <c:v>South Asia</c:v>
              </c:pt>
              <c:pt idx="4">
                <c:v>Dominican Republic</c:v>
              </c:pt>
              <c:pt idx="5">
                <c:v>Brazil</c:v>
              </c:pt>
              <c:pt idx="6">
                <c:v>Chile</c:v>
              </c:pt>
              <c:pt idx="7">
                <c:v>High Income</c:v>
              </c:pt>
              <c:pt idx="8">
                <c:v>Colombia</c:v>
              </c:pt>
              <c:pt idx="9">
                <c:v>Mexico</c:v>
              </c:pt>
              <c:pt idx="10">
                <c:v>LAC</c:v>
              </c:pt>
              <c:pt idx="11">
                <c:v>Europe &amp; Central Asia</c:v>
              </c:pt>
              <c:pt idx="12">
                <c:v>Paraguay</c:v>
              </c:pt>
              <c:pt idx="13">
                <c:v>Ecuador</c:v>
              </c:pt>
              <c:pt idx="14">
                <c:v>Peru</c:v>
              </c:pt>
              <c:pt idx="15">
                <c:v>Sub-Saharan Africa</c:v>
              </c:pt>
              <c:pt idx="16">
                <c:v>Costa Rica</c:v>
              </c:pt>
              <c:pt idx="17">
                <c:v>Uruguay</c:v>
              </c:pt>
              <c:pt idx="18">
                <c:v>Middle East &amp; North Africa</c:v>
              </c:pt>
              <c:pt idx="19">
                <c:v>East Asia &amp; Pacific</c:v>
              </c:pt>
            </c:strLit>
          </c:cat>
          <c:val>
            <c:numRef>
              <c:f>{}</c:f>
            </c:numRef>
          </c:val>
          <c:extLst>
            <c:ext xmlns:c16="http://schemas.microsoft.com/office/drawing/2014/chart" uri="{C3380CC4-5D6E-409C-BE32-E72D297353CC}">
              <c16:uniqueId val="{00000001-F4DB-4D56-88BB-C1D8CCE25219}"/>
            </c:ext>
          </c:extLst>
        </c:ser>
        <c:ser>
          <c:idx val="4"/>
          <c:order val="4"/>
          <c:tx>
            <c:v>Initial Period</c:v>
          </c:tx>
          <c:spPr>
            <a:solidFill>
              <a:schemeClr val="accent5"/>
            </a:solidFill>
            <a:ln>
              <a:noFill/>
            </a:ln>
            <a:effectLst/>
          </c:spPr>
          <c:invertIfNegative val="0"/>
          <c:cat>
            <c:strLit>
              <c:ptCount val="20"/>
              <c:pt idx="0">
                <c:v>Bolivia</c:v>
              </c:pt>
              <c:pt idx="1">
                <c:v>El Salvador</c:v>
              </c:pt>
              <c:pt idx="2">
                <c:v>Argentina</c:v>
              </c:pt>
              <c:pt idx="3">
                <c:v>South Asia</c:v>
              </c:pt>
              <c:pt idx="4">
                <c:v>Dominican Republic</c:v>
              </c:pt>
              <c:pt idx="5">
                <c:v>Brazil</c:v>
              </c:pt>
              <c:pt idx="6">
                <c:v>Chile</c:v>
              </c:pt>
              <c:pt idx="7">
                <c:v>High Income</c:v>
              </c:pt>
              <c:pt idx="8">
                <c:v>Colombia</c:v>
              </c:pt>
              <c:pt idx="9">
                <c:v>Mexico</c:v>
              </c:pt>
              <c:pt idx="10">
                <c:v>LAC</c:v>
              </c:pt>
              <c:pt idx="11">
                <c:v>Europe &amp; Central Asia</c:v>
              </c:pt>
              <c:pt idx="12">
                <c:v>Paraguay</c:v>
              </c:pt>
              <c:pt idx="13">
                <c:v>Ecuador</c:v>
              </c:pt>
              <c:pt idx="14">
                <c:v>Peru</c:v>
              </c:pt>
              <c:pt idx="15">
                <c:v>Sub-Saharan Africa</c:v>
              </c:pt>
              <c:pt idx="16">
                <c:v>Costa Rica</c:v>
              </c:pt>
              <c:pt idx="17">
                <c:v>Uruguay</c:v>
              </c:pt>
              <c:pt idx="18">
                <c:v>Middle East &amp; North Africa</c:v>
              </c:pt>
              <c:pt idx="19">
                <c:v>East Asia &amp; Pacific</c:v>
              </c:pt>
            </c:strLit>
          </c:cat>
          <c:val>
            <c:numRef>
              <c:f>{}</c:f>
            </c:numRef>
          </c:val>
          <c:extLst>
            <c:ext xmlns:c16="http://schemas.microsoft.com/office/drawing/2014/chart" uri="{C3380CC4-5D6E-409C-BE32-E72D297353CC}">
              <c16:uniqueId val="{00000002-F4DB-4D56-88BB-C1D8CCE25219}"/>
            </c:ext>
          </c:extLst>
        </c:ser>
        <c:ser>
          <c:idx val="5"/>
          <c:order val="5"/>
          <c:tx>
            <c:v>Final Period</c:v>
          </c:tx>
          <c:spPr>
            <a:solidFill>
              <a:schemeClr val="accent6"/>
            </a:solidFill>
            <a:ln>
              <a:noFill/>
            </a:ln>
            <a:effectLst/>
          </c:spPr>
          <c:invertIfNegative val="0"/>
          <c:cat>
            <c:strLit>
              <c:ptCount val="20"/>
              <c:pt idx="0">
                <c:v>Bolivia</c:v>
              </c:pt>
              <c:pt idx="1">
                <c:v>El Salvador</c:v>
              </c:pt>
              <c:pt idx="2">
                <c:v>Argentina</c:v>
              </c:pt>
              <c:pt idx="3">
                <c:v>South Asia</c:v>
              </c:pt>
              <c:pt idx="4">
                <c:v>Dominican Republic</c:v>
              </c:pt>
              <c:pt idx="5">
                <c:v>Brazil</c:v>
              </c:pt>
              <c:pt idx="6">
                <c:v>Chile</c:v>
              </c:pt>
              <c:pt idx="7">
                <c:v>High Income</c:v>
              </c:pt>
              <c:pt idx="8">
                <c:v>Colombia</c:v>
              </c:pt>
              <c:pt idx="9">
                <c:v>Mexico</c:v>
              </c:pt>
              <c:pt idx="10">
                <c:v>LAC</c:v>
              </c:pt>
              <c:pt idx="11">
                <c:v>Europe &amp; Central Asia</c:v>
              </c:pt>
              <c:pt idx="12">
                <c:v>Paraguay</c:v>
              </c:pt>
              <c:pt idx="13">
                <c:v>Ecuador</c:v>
              </c:pt>
              <c:pt idx="14">
                <c:v>Peru</c:v>
              </c:pt>
              <c:pt idx="15">
                <c:v>Sub-Saharan Africa</c:v>
              </c:pt>
              <c:pt idx="16">
                <c:v>Costa Rica</c:v>
              </c:pt>
              <c:pt idx="17">
                <c:v>Uruguay</c:v>
              </c:pt>
              <c:pt idx="18">
                <c:v>Middle East &amp; North Africa</c:v>
              </c:pt>
              <c:pt idx="19">
                <c:v>East Asia &amp; Pacific</c:v>
              </c:pt>
            </c:strLit>
          </c:cat>
          <c:val>
            <c:numRef>
              <c:f>{}</c:f>
            </c:numRef>
          </c:val>
          <c:extLst>
            <c:ext xmlns:c16="http://schemas.microsoft.com/office/drawing/2014/chart" uri="{C3380CC4-5D6E-409C-BE32-E72D297353CC}">
              <c16:uniqueId val="{00000003-F4DB-4D56-88BB-C1D8CCE25219}"/>
            </c:ext>
          </c:extLst>
        </c:ser>
        <c:ser>
          <c:idx val="6"/>
          <c:order val="6"/>
          <c:tx>
            <c:v>Initial Value</c:v>
          </c:tx>
          <c:spPr>
            <a:solidFill>
              <a:schemeClr val="accent1">
                <a:lumMod val="60000"/>
              </a:schemeClr>
            </a:solidFill>
            <a:ln>
              <a:noFill/>
            </a:ln>
            <a:effectLst/>
          </c:spPr>
          <c:invertIfNegative val="0"/>
          <c:cat>
            <c:strLit>
              <c:ptCount val="20"/>
              <c:pt idx="0">
                <c:v>Bolivia</c:v>
              </c:pt>
              <c:pt idx="1">
                <c:v>El Salvador</c:v>
              </c:pt>
              <c:pt idx="2">
                <c:v>Argentina</c:v>
              </c:pt>
              <c:pt idx="3">
                <c:v>South Asia</c:v>
              </c:pt>
              <c:pt idx="4">
                <c:v>Dominican Republic</c:v>
              </c:pt>
              <c:pt idx="5">
                <c:v>Brazil</c:v>
              </c:pt>
              <c:pt idx="6">
                <c:v>Chile</c:v>
              </c:pt>
              <c:pt idx="7">
                <c:v>High Income</c:v>
              </c:pt>
              <c:pt idx="8">
                <c:v>Colombia</c:v>
              </c:pt>
              <c:pt idx="9">
                <c:v>Mexico</c:v>
              </c:pt>
              <c:pt idx="10">
                <c:v>LAC</c:v>
              </c:pt>
              <c:pt idx="11">
                <c:v>Europe &amp; Central Asia</c:v>
              </c:pt>
              <c:pt idx="12">
                <c:v>Paraguay</c:v>
              </c:pt>
              <c:pt idx="13">
                <c:v>Ecuador</c:v>
              </c:pt>
              <c:pt idx="14">
                <c:v>Peru</c:v>
              </c:pt>
              <c:pt idx="15">
                <c:v>Sub-Saharan Africa</c:v>
              </c:pt>
              <c:pt idx="16">
                <c:v>Costa Rica</c:v>
              </c:pt>
              <c:pt idx="17">
                <c:v>Uruguay</c:v>
              </c:pt>
              <c:pt idx="18">
                <c:v>Middle East &amp; North Africa</c:v>
              </c:pt>
              <c:pt idx="19">
                <c:v>East Asia &amp; Pacific</c:v>
              </c:pt>
            </c:strLit>
          </c:cat>
          <c:val>
            <c:numRef>
              <c:f>{}</c:f>
            </c:numRef>
          </c:val>
          <c:extLst>
            <c:ext xmlns:c16="http://schemas.microsoft.com/office/drawing/2014/chart" uri="{C3380CC4-5D6E-409C-BE32-E72D297353CC}">
              <c16:uniqueId val="{00000004-F4DB-4D56-88BB-C1D8CCE25219}"/>
            </c:ext>
          </c:extLst>
        </c:ser>
        <c:ser>
          <c:idx val="7"/>
          <c:order val="7"/>
          <c:tx>
            <c:v>Final Value</c:v>
          </c:tx>
          <c:spPr>
            <a:solidFill>
              <a:schemeClr val="accent2">
                <a:lumMod val="60000"/>
              </a:schemeClr>
            </a:solidFill>
            <a:ln>
              <a:noFill/>
            </a:ln>
            <a:effectLst/>
          </c:spPr>
          <c:invertIfNegative val="0"/>
          <c:cat>
            <c:strLit>
              <c:ptCount val="20"/>
              <c:pt idx="0">
                <c:v>Bolivia</c:v>
              </c:pt>
              <c:pt idx="1">
                <c:v>El Salvador</c:v>
              </c:pt>
              <c:pt idx="2">
                <c:v>Argentina</c:v>
              </c:pt>
              <c:pt idx="3">
                <c:v>South Asia</c:v>
              </c:pt>
              <c:pt idx="4">
                <c:v>Dominican Republic</c:v>
              </c:pt>
              <c:pt idx="5">
                <c:v>Brazil</c:v>
              </c:pt>
              <c:pt idx="6">
                <c:v>Chile</c:v>
              </c:pt>
              <c:pt idx="7">
                <c:v>High Income</c:v>
              </c:pt>
              <c:pt idx="8">
                <c:v>Colombia</c:v>
              </c:pt>
              <c:pt idx="9">
                <c:v>Mexico</c:v>
              </c:pt>
              <c:pt idx="10">
                <c:v>LAC</c:v>
              </c:pt>
              <c:pt idx="11">
                <c:v>Europe &amp; Central Asia</c:v>
              </c:pt>
              <c:pt idx="12">
                <c:v>Paraguay</c:v>
              </c:pt>
              <c:pt idx="13">
                <c:v>Ecuador</c:v>
              </c:pt>
              <c:pt idx="14">
                <c:v>Peru</c:v>
              </c:pt>
              <c:pt idx="15">
                <c:v>Sub-Saharan Africa</c:v>
              </c:pt>
              <c:pt idx="16">
                <c:v>Costa Rica</c:v>
              </c:pt>
              <c:pt idx="17">
                <c:v>Uruguay</c:v>
              </c:pt>
              <c:pt idx="18">
                <c:v>Middle East &amp; North Africa</c:v>
              </c:pt>
              <c:pt idx="19">
                <c:v>East Asia &amp; Pacific</c:v>
              </c:pt>
            </c:strLit>
          </c:cat>
          <c:val>
            <c:numRef>
              <c:f>{}</c:f>
            </c:numRef>
          </c:val>
          <c:extLst>
            <c:ext xmlns:c16="http://schemas.microsoft.com/office/drawing/2014/chart" uri="{C3380CC4-5D6E-409C-BE32-E72D297353CC}">
              <c16:uniqueId val="{00000005-F4DB-4D56-88BB-C1D8CCE25219}"/>
            </c:ext>
          </c:extLst>
        </c:ser>
        <c:ser>
          <c:idx val="9"/>
          <c:order val="9"/>
          <c:tx>
            <c:v>Period 2019-2024</c:v>
          </c:tx>
          <c:spPr>
            <a:solidFill>
              <a:schemeClr val="accent4">
                <a:lumMod val="60000"/>
              </a:schemeClr>
            </a:solidFill>
            <a:ln>
              <a:noFill/>
            </a:ln>
            <a:effectLst/>
          </c:spPr>
          <c:invertIfNegative val="0"/>
          <c:cat>
            <c:strLit>
              <c:ptCount val="20"/>
              <c:pt idx="0">
                <c:v>Bolivia</c:v>
              </c:pt>
              <c:pt idx="1">
                <c:v>El Salvador</c:v>
              </c:pt>
              <c:pt idx="2">
                <c:v>Argentina</c:v>
              </c:pt>
              <c:pt idx="3">
                <c:v>South Asia</c:v>
              </c:pt>
              <c:pt idx="4">
                <c:v>Dominican Republic</c:v>
              </c:pt>
              <c:pt idx="5">
                <c:v>Brazil</c:v>
              </c:pt>
              <c:pt idx="6">
                <c:v>Chile</c:v>
              </c:pt>
              <c:pt idx="7">
                <c:v>High Income</c:v>
              </c:pt>
              <c:pt idx="8">
                <c:v>Colombia</c:v>
              </c:pt>
              <c:pt idx="9">
                <c:v>Mexico</c:v>
              </c:pt>
              <c:pt idx="10">
                <c:v>LAC</c:v>
              </c:pt>
              <c:pt idx="11">
                <c:v>Europe &amp; Central Asia</c:v>
              </c:pt>
              <c:pt idx="12">
                <c:v>Paraguay</c:v>
              </c:pt>
              <c:pt idx="13">
                <c:v>Ecuador</c:v>
              </c:pt>
              <c:pt idx="14">
                <c:v>Peru</c:v>
              </c:pt>
              <c:pt idx="15">
                <c:v>Sub-Saharan Africa</c:v>
              </c:pt>
              <c:pt idx="16">
                <c:v>Costa Rica</c:v>
              </c:pt>
              <c:pt idx="17">
                <c:v>Uruguay</c:v>
              </c:pt>
              <c:pt idx="18">
                <c:v>Middle East &amp; North Africa</c:v>
              </c:pt>
              <c:pt idx="19">
                <c:v>East Asia &amp; Pacific</c:v>
              </c:pt>
            </c:strLit>
          </c:cat>
          <c:val>
            <c:numRef>
              <c:f>{}</c:f>
            </c:numRef>
          </c:val>
          <c:extLst>
            <c:ext xmlns:c16="http://schemas.microsoft.com/office/drawing/2014/chart" uri="{C3380CC4-5D6E-409C-BE32-E72D297353CC}">
              <c16:uniqueId val="{00000006-F4DB-4D56-88BB-C1D8CCE25219}"/>
            </c:ext>
          </c:extLst>
        </c:ser>
        <c:ser>
          <c:idx val="10"/>
          <c:order val="10"/>
          <c:tx>
            <c:v>Initial Period</c:v>
          </c:tx>
          <c:spPr>
            <a:solidFill>
              <a:schemeClr val="accent5">
                <a:lumMod val="60000"/>
              </a:schemeClr>
            </a:solidFill>
            <a:ln>
              <a:noFill/>
            </a:ln>
            <a:effectLst/>
          </c:spPr>
          <c:invertIfNegative val="0"/>
          <c:cat>
            <c:strLit>
              <c:ptCount val="20"/>
              <c:pt idx="0">
                <c:v>Bolivia</c:v>
              </c:pt>
              <c:pt idx="1">
                <c:v>El Salvador</c:v>
              </c:pt>
              <c:pt idx="2">
                <c:v>Argentina</c:v>
              </c:pt>
              <c:pt idx="3">
                <c:v>South Asia</c:v>
              </c:pt>
              <c:pt idx="4">
                <c:v>Dominican Republic</c:v>
              </c:pt>
              <c:pt idx="5">
                <c:v>Brazil</c:v>
              </c:pt>
              <c:pt idx="6">
                <c:v>Chile</c:v>
              </c:pt>
              <c:pt idx="7">
                <c:v>High Income</c:v>
              </c:pt>
              <c:pt idx="8">
                <c:v>Colombia</c:v>
              </c:pt>
              <c:pt idx="9">
                <c:v>Mexico</c:v>
              </c:pt>
              <c:pt idx="10">
                <c:v>LAC</c:v>
              </c:pt>
              <c:pt idx="11">
                <c:v>Europe &amp; Central Asia</c:v>
              </c:pt>
              <c:pt idx="12">
                <c:v>Paraguay</c:v>
              </c:pt>
              <c:pt idx="13">
                <c:v>Ecuador</c:v>
              </c:pt>
              <c:pt idx="14">
                <c:v>Peru</c:v>
              </c:pt>
              <c:pt idx="15">
                <c:v>Sub-Saharan Africa</c:v>
              </c:pt>
              <c:pt idx="16">
                <c:v>Costa Rica</c:v>
              </c:pt>
              <c:pt idx="17">
                <c:v>Uruguay</c:v>
              </c:pt>
              <c:pt idx="18">
                <c:v>Middle East &amp; North Africa</c:v>
              </c:pt>
              <c:pt idx="19">
                <c:v>East Asia &amp; Pacific</c:v>
              </c:pt>
            </c:strLit>
          </c:cat>
          <c:val>
            <c:numRef>
              <c:f>{}</c:f>
            </c:numRef>
          </c:val>
          <c:extLst>
            <c:ext xmlns:c16="http://schemas.microsoft.com/office/drawing/2014/chart" uri="{C3380CC4-5D6E-409C-BE32-E72D297353CC}">
              <c16:uniqueId val="{00000007-F4DB-4D56-88BB-C1D8CCE25219}"/>
            </c:ext>
          </c:extLst>
        </c:ser>
        <c:ser>
          <c:idx val="11"/>
          <c:order val="11"/>
          <c:tx>
            <c:v>Final Period</c:v>
          </c:tx>
          <c:spPr>
            <a:solidFill>
              <a:schemeClr val="accent6">
                <a:lumMod val="60000"/>
              </a:schemeClr>
            </a:solidFill>
            <a:ln>
              <a:noFill/>
            </a:ln>
            <a:effectLst/>
          </c:spPr>
          <c:invertIfNegative val="0"/>
          <c:cat>
            <c:strLit>
              <c:ptCount val="20"/>
              <c:pt idx="0">
                <c:v>Bolivia</c:v>
              </c:pt>
              <c:pt idx="1">
                <c:v>El Salvador</c:v>
              </c:pt>
              <c:pt idx="2">
                <c:v>Argentina</c:v>
              </c:pt>
              <c:pt idx="3">
                <c:v>South Asia</c:v>
              </c:pt>
              <c:pt idx="4">
                <c:v>Dominican Republic</c:v>
              </c:pt>
              <c:pt idx="5">
                <c:v>Brazil</c:v>
              </c:pt>
              <c:pt idx="6">
                <c:v>Chile</c:v>
              </c:pt>
              <c:pt idx="7">
                <c:v>High Income</c:v>
              </c:pt>
              <c:pt idx="8">
                <c:v>Colombia</c:v>
              </c:pt>
              <c:pt idx="9">
                <c:v>Mexico</c:v>
              </c:pt>
              <c:pt idx="10">
                <c:v>LAC</c:v>
              </c:pt>
              <c:pt idx="11">
                <c:v>Europe &amp; Central Asia</c:v>
              </c:pt>
              <c:pt idx="12">
                <c:v>Paraguay</c:v>
              </c:pt>
              <c:pt idx="13">
                <c:v>Ecuador</c:v>
              </c:pt>
              <c:pt idx="14">
                <c:v>Peru</c:v>
              </c:pt>
              <c:pt idx="15">
                <c:v>Sub-Saharan Africa</c:v>
              </c:pt>
              <c:pt idx="16">
                <c:v>Costa Rica</c:v>
              </c:pt>
              <c:pt idx="17">
                <c:v>Uruguay</c:v>
              </c:pt>
              <c:pt idx="18">
                <c:v>Middle East &amp; North Africa</c:v>
              </c:pt>
              <c:pt idx="19">
                <c:v>East Asia &amp; Pacific</c:v>
              </c:pt>
            </c:strLit>
          </c:cat>
          <c:val>
            <c:numRef>
              <c:f>{}</c:f>
            </c:numRef>
          </c:val>
          <c:extLst>
            <c:ext xmlns:c16="http://schemas.microsoft.com/office/drawing/2014/chart" uri="{C3380CC4-5D6E-409C-BE32-E72D297353CC}">
              <c16:uniqueId val="{00000008-F4DB-4D56-88BB-C1D8CCE25219}"/>
            </c:ext>
          </c:extLst>
        </c:ser>
        <c:ser>
          <c:idx val="12"/>
          <c:order val="12"/>
          <c:tx>
            <c:v>Initial Value</c:v>
          </c:tx>
          <c:spPr>
            <a:solidFill>
              <a:schemeClr val="accent1">
                <a:lumMod val="80000"/>
                <a:lumOff val="20000"/>
              </a:schemeClr>
            </a:solidFill>
            <a:ln>
              <a:noFill/>
            </a:ln>
            <a:effectLst/>
          </c:spPr>
          <c:invertIfNegative val="0"/>
          <c:cat>
            <c:strLit>
              <c:ptCount val="20"/>
              <c:pt idx="0">
                <c:v>Bolivia</c:v>
              </c:pt>
              <c:pt idx="1">
                <c:v>El Salvador</c:v>
              </c:pt>
              <c:pt idx="2">
                <c:v>Argentina</c:v>
              </c:pt>
              <c:pt idx="3">
                <c:v>South Asia</c:v>
              </c:pt>
              <c:pt idx="4">
                <c:v>Dominican Republic</c:v>
              </c:pt>
              <c:pt idx="5">
                <c:v>Brazil</c:v>
              </c:pt>
              <c:pt idx="6">
                <c:v>Chile</c:v>
              </c:pt>
              <c:pt idx="7">
                <c:v>High Income</c:v>
              </c:pt>
              <c:pt idx="8">
                <c:v>Colombia</c:v>
              </c:pt>
              <c:pt idx="9">
                <c:v>Mexico</c:v>
              </c:pt>
              <c:pt idx="10">
                <c:v>LAC</c:v>
              </c:pt>
              <c:pt idx="11">
                <c:v>Europe &amp; Central Asia</c:v>
              </c:pt>
              <c:pt idx="12">
                <c:v>Paraguay</c:v>
              </c:pt>
              <c:pt idx="13">
                <c:v>Ecuador</c:v>
              </c:pt>
              <c:pt idx="14">
                <c:v>Peru</c:v>
              </c:pt>
              <c:pt idx="15">
                <c:v>Sub-Saharan Africa</c:v>
              </c:pt>
              <c:pt idx="16">
                <c:v>Costa Rica</c:v>
              </c:pt>
              <c:pt idx="17">
                <c:v>Uruguay</c:v>
              </c:pt>
              <c:pt idx="18">
                <c:v>Middle East &amp; North Africa</c:v>
              </c:pt>
              <c:pt idx="19">
                <c:v>East Asia &amp; Pacific</c:v>
              </c:pt>
            </c:strLit>
          </c:cat>
          <c:val>
            <c:numRef>
              <c:f>{}</c:f>
            </c:numRef>
          </c:val>
          <c:extLst>
            <c:ext xmlns:c16="http://schemas.microsoft.com/office/drawing/2014/chart" uri="{C3380CC4-5D6E-409C-BE32-E72D297353CC}">
              <c16:uniqueId val="{00000009-F4DB-4D56-88BB-C1D8CCE25219}"/>
            </c:ext>
          </c:extLst>
        </c:ser>
        <c:ser>
          <c:idx val="13"/>
          <c:order val="13"/>
          <c:tx>
            <c:v>Final Value</c:v>
          </c:tx>
          <c:spPr>
            <a:solidFill>
              <a:schemeClr val="accent2">
                <a:lumMod val="80000"/>
                <a:lumOff val="20000"/>
              </a:schemeClr>
            </a:solidFill>
            <a:ln>
              <a:noFill/>
            </a:ln>
            <a:effectLst/>
          </c:spPr>
          <c:invertIfNegative val="0"/>
          <c:cat>
            <c:strLit>
              <c:ptCount val="20"/>
              <c:pt idx="0">
                <c:v>Bolivia</c:v>
              </c:pt>
              <c:pt idx="1">
                <c:v>El Salvador</c:v>
              </c:pt>
              <c:pt idx="2">
                <c:v>Argentina</c:v>
              </c:pt>
              <c:pt idx="3">
                <c:v>South Asia</c:v>
              </c:pt>
              <c:pt idx="4">
                <c:v>Dominican Republic</c:v>
              </c:pt>
              <c:pt idx="5">
                <c:v>Brazil</c:v>
              </c:pt>
              <c:pt idx="6">
                <c:v>Chile</c:v>
              </c:pt>
              <c:pt idx="7">
                <c:v>High Income</c:v>
              </c:pt>
              <c:pt idx="8">
                <c:v>Colombia</c:v>
              </c:pt>
              <c:pt idx="9">
                <c:v>Mexico</c:v>
              </c:pt>
              <c:pt idx="10">
                <c:v>LAC</c:v>
              </c:pt>
              <c:pt idx="11">
                <c:v>Europe &amp; Central Asia</c:v>
              </c:pt>
              <c:pt idx="12">
                <c:v>Paraguay</c:v>
              </c:pt>
              <c:pt idx="13">
                <c:v>Ecuador</c:v>
              </c:pt>
              <c:pt idx="14">
                <c:v>Peru</c:v>
              </c:pt>
              <c:pt idx="15">
                <c:v>Sub-Saharan Africa</c:v>
              </c:pt>
              <c:pt idx="16">
                <c:v>Costa Rica</c:v>
              </c:pt>
              <c:pt idx="17">
                <c:v>Uruguay</c:v>
              </c:pt>
              <c:pt idx="18">
                <c:v>Middle East &amp; North Africa</c:v>
              </c:pt>
              <c:pt idx="19">
                <c:v>East Asia &amp; Pacific</c:v>
              </c:pt>
            </c:strLit>
          </c:cat>
          <c:val>
            <c:numRef>
              <c:f>{}</c:f>
            </c:numRef>
          </c:val>
          <c:extLst>
            <c:ext xmlns:c16="http://schemas.microsoft.com/office/drawing/2014/chart" uri="{C3380CC4-5D6E-409C-BE32-E72D297353CC}">
              <c16:uniqueId val="{0000000A-F4DB-4D56-88BB-C1D8CCE25219}"/>
            </c:ext>
          </c:extLst>
        </c:ser>
        <c:ser>
          <c:idx val="1"/>
          <c:order val="1"/>
          <c:tx>
            <c:v>Final Value</c:v>
          </c:tx>
          <c:spPr>
            <a:solidFill>
              <a:schemeClr val="accent2"/>
            </a:solidFill>
            <a:ln>
              <a:noFill/>
            </a:ln>
            <a:effectLst/>
          </c:spPr>
          <c:invertIfNegative val="0"/>
          <c:cat>
            <c:strLit>
              <c:ptCount val="20"/>
              <c:pt idx="0">
                <c:v>Bolivia</c:v>
              </c:pt>
              <c:pt idx="1">
                <c:v>El Salvador</c:v>
              </c:pt>
              <c:pt idx="2">
                <c:v>Argentina</c:v>
              </c:pt>
              <c:pt idx="3">
                <c:v>South Asia</c:v>
              </c:pt>
              <c:pt idx="4">
                <c:v>Dominican Republic</c:v>
              </c:pt>
              <c:pt idx="5">
                <c:v>Brazil</c:v>
              </c:pt>
              <c:pt idx="6">
                <c:v>Chile</c:v>
              </c:pt>
              <c:pt idx="7">
                <c:v>High Income</c:v>
              </c:pt>
              <c:pt idx="8">
                <c:v>Colombia</c:v>
              </c:pt>
              <c:pt idx="9">
                <c:v>Mexico</c:v>
              </c:pt>
              <c:pt idx="10">
                <c:v>LAC</c:v>
              </c:pt>
              <c:pt idx="11">
                <c:v>Europe &amp; Central Asia</c:v>
              </c:pt>
              <c:pt idx="12">
                <c:v>Paraguay</c:v>
              </c:pt>
              <c:pt idx="13">
                <c:v>Ecuador</c:v>
              </c:pt>
              <c:pt idx="14">
                <c:v>Peru</c:v>
              </c:pt>
              <c:pt idx="15">
                <c:v>Sub-Saharan Africa</c:v>
              </c:pt>
              <c:pt idx="16">
                <c:v>Costa Rica</c:v>
              </c:pt>
              <c:pt idx="17">
                <c:v>Uruguay</c:v>
              </c:pt>
              <c:pt idx="18">
                <c:v>Middle East &amp; North Africa</c:v>
              </c:pt>
              <c:pt idx="19">
                <c:v>East Asia &amp; Pacific</c:v>
              </c:pt>
            </c:strLit>
          </c:cat>
          <c:val>
            <c:numRef>
              <c:f>{}</c:f>
            </c:numRef>
          </c:val>
          <c:extLst>
            <c:ext xmlns:c16="http://schemas.microsoft.com/office/drawing/2014/chart" uri="{C3380CC4-5D6E-409C-BE32-E72D297353CC}">
              <c16:uniqueId val="{0000000B-F4DB-4D56-88BB-C1D8CCE25219}"/>
            </c:ext>
          </c:extLst>
        </c:ser>
        <c:ser>
          <c:idx val="2"/>
          <c:order val="2"/>
          <c:tx>
            <c:strRef>
              <c:f>'Figure 7'!$G$1</c:f>
              <c:strCache>
                <c:ptCount val="1"/>
                <c:pt idx="0">
                  <c:v>2016-2024</c:v>
                </c:pt>
              </c:strCache>
            </c:strRef>
          </c:tx>
          <c:spPr>
            <a:solidFill>
              <a:schemeClr val="accent5"/>
            </a:solidFill>
            <a:ln>
              <a:noFill/>
            </a:ln>
            <a:effectLst/>
          </c:spPr>
          <c:invertIfNegative val="0"/>
          <c:dPt>
            <c:idx val="10"/>
            <c:invertIfNegative val="0"/>
            <c:bubble3D val="0"/>
            <c:spPr>
              <a:solidFill>
                <a:schemeClr val="accent5">
                  <a:alpha val="50000"/>
                </a:schemeClr>
              </a:solidFill>
              <a:ln>
                <a:noFill/>
              </a:ln>
              <a:effectLst/>
            </c:spPr>
            <c:extLst>
              <c:ext xmlns:c16="http://schemas.microsoft.com/office/drawing/2014/chart" uri="{C3380CC4-5D6E-409C-BE32-E72D297353CC}">
                <c16:uniqueId val="{0000000D-F4DB-4D56-88BB-C1D8CCE25219}"/>
              </c:ext>
            </c:extLst>
          </c:dPt>
          <c:cat>
            <c:strRef>
              <c:f>'Figure 7'!$A$2:$D$21</c:f>
              <c:strCache>
                <c:ptCount val="20"/>
                <c:pt idx="0">
                  <c:v>Bolivia</c:v>
                </c:pt>
                <c:pt idx="1">
                  <c:v>El Salvador</c:v>
                </c:pt>
                <c:pt idx="2">
                  <c:v>Argentina</c:v>
                </c:pt>
                <c:pt idx="3">
                  <c:v>South Asia</c:v>
                </c:pt>
                <c:pt idx="4">
                  <c:v>Dominican Republic</c:v>
                </c:pt>
                <c:pt idx="5">
                  <c:v>Brazil</c:v>
                </c:pt>
                <c:pt idx="6">
                  <c:v>Chile</c:v>
                </c:pt>
                <c:pt idx="7">
                  <c:v>High Income</c:v>
                </c:pt>
                <c:pt idx="8">
                  <c:v>Colombia</c:v>
                </c:pt>
                <c:pt idx="9">
                  <c:v>Mexico</c:v>
                </c:pt>
                <c:pt idx="10">
                  <c:v>LAC</c:v>
                </c:pt>
                <c:pt idx="11">
                  <c:v>Europe &amp; Central Asia</c:v>
                </c:pt>
                <c:pt idx="12">
                  <c:v>Paraguay</c:v>
                </c:pt>
                <c:pt idx="13">
                  <c:v>Ecuador</c:v>
                </c:pt>
                <c:pt idx="14">
                  <c:v>Peru</c:v>
                </c:pt>
                <c:pt idx="15">
                  <c:v>Sub-Saharan Africa</c:v>
                </c:pt>
                <c:pt idx="16">
                  <c:v>Costa Rica</c:v>
                </c:pt>
                <c:pt idx="17">
                  <c:v>Uruguay</c:v>
                </c:pt>
                <c:pt idx="18">
                  <c:v>Middle East &amp; North Africa</c:v>
                </c:pt>
                <c:pt idx="19">
                  <c:v>East Asia &amp; Pacific</c:v>
                </c:pt>
              </c:strCache>
            </c:strRef>
          </c:cat>
          <c:val>
            <c:numRef>
              <c:f>'Figure 7'!$G$2:$G$21</c:f>
              <c:numCache>
                <c:formatCode>0.0</c:formatCode>
                <c:ptCount val="20"/>
                <c:pt idx="0">
                  <c:v>12.079999999999998</c:v>
                </c:pt>
                <c:pt idx="1">
                  <c:v>5.0200000000000031</c:v>
                </c:pt>
                <c:pt idx="2">
                  <c:v>4.3999999999999986</c:v>
                </c:pt>
                <c:pt idx="3">
                  <c:v>2.8135265345284068</c:v>
                </c:pt>
                <c:pt idx="4">
                  <c:v>2.6300000000000026</c:v>
                </c:pt>
                <c:pt idx="5">
                  <c:v>1.9600000000000009</c:v>
                </c:pt>
                <c:pt idx="6">
                  <c:v>1.7999999999999972</c:v>
                </c:pt>
                <c:pt idx="7">
                  <c:v>1.5736560366383401</c:v>
                </c:pt>
                <c:pt idx="8">
                  <c:v>1.360000000000003</c:v>
                </c:pt>
                <c:pt idx="9">
                  <c:v>1.2899999999999991</c:v>
                </c:pt>
                <c:pt idx="10">
                  <c:v>1.25</c:v>
                </c:pt>
                <c:pt idx="11">
                  <c:v>1.1538525883361643</c:v>
                </c:pt>
                <c:pt idx="12">
                  <c:v>0.23499999999999943</c:v>
                </c:pt>
                <c:pt idx="13">
                  <c:v>6.0000000000002274E-2</c:v>
                </c:pt>
                <c:pt idx="14">
                  <c:v>2.0000000000003126E-2</c:v>
                </c:pt>
                <c:pt idx="15">
                  <c:v>-0.14172997609470883</c:v>
                </c:pt>
                <c:pt idx="16">
                  <c:v>-0.45000000000000284</c:v>
                </c:pt>
                <c:pt idx="17">
                  <c:v>-1.0850000000000009</c:v>
                </c:pt>
                <c:pt idx="18">
                  <c:v>-1.3048740101226812</c:v>
                </c:pt>
                <c:pt idx="19">
                  <c:v>-2.2603194655639172</c:v>
                </c:pt>
              </c:numCache>
            </c:numRef>
          </c:val>
          <c:extLst>
            <c:ext xmlns:c16="http://schemas.microsoft.com/office/drawing/2014/chart" uri="{C3380CC4-5D6E-409C-BE32-E72D297353CC}">
              <c16:uniqueId val="{0000000E-F4DB-4D56-88BB-C1D8CCE25219}"/>
            </c:ext>
          </c:extLst>
        </c:ser>
        <c:dLbls>
          <c:showLegendKey val="0"/>
          <c:showVal val="0"/>
          <c:showCatName val="0"/>
          <c:showSerName val="0"/>
          <c:showPercent val="0"/>
          <c:showBubbleSize val="0"/>
        </c:dLbls>
        <c:gapWidth val="150"/>
        <c:axId val="1155853359"/>
        <c:axId val="1155853839"/>
      </c:barChart>
      <c:lineChart>
        <c:grouping val="standard"/>
        <c:varyColors val="0"/>
        <c:ser>
          <c:idx val="8"/>
          <c:order val="8"/>
          <c:tx>
            <c:strRef>
              <c:f>'Figure 7'!$M$1</c:f>
              <c:strCache>
                <c:ptCount val="1"/>
                <c:pt idx="0">
                  <c:v>2016-2019</c:v>
                </c:pt>
              </c:strCache>
            </c:strRef>
          </c:tx>
          <c:spPr>
            <a:ln w="28575" cap="rnd">
              <a:noFill/>
              <a:round/>
            </a:ln>
            <a:effectLst/>
          </c:spPr>
          <c:marker>
            <c:symbol val="diamond"/>
            <c:size val="7"/>
            <c:spPr>
              <a:solidFill>
                <a:schemeClr val="bg2">
                  <a:lumMod val="50000"/>
                </a:schemeClr>
              </a:solidFill>
              <a:ln w="9525">
                <a:solidFill>
                  <a:schemeClr val="bg2">
                    <a:lumMod val="75000"/>
                  </a:schemeClr>
                </a:solidFill>
              </a:ln>
              <a:effectLst/>
            </c:spPr>
          </c:marker>
          <c:cat>
            <c:strRef>
              <c:f>'Figure 7'!$A$2:$D$21</c:f>
              <c:strCache>
                <c:ptCount val="20"/>
                <c:pt idx="0">
                  <c:v>Bolivia</c:v>
                </c:pt>
                <c:pt idx="1">
                  <c:v>El Salvador</c:v>
                </c:pt>
                <c:pt idx="2">
                  <c:v>Argentina</c:v>
                </c:pt>
                <c:pt idx="3">
                  <c:v>South Asia</c:v>
                </c:pt>
                <c:pt idx="4">
                  <c:v>Dominican Republic</c:v>
                </c:pt>
                <c:pt idx="5">
                  <c:v>Brazil</c:v>
                </c:pt>
                <c:pt idx="6">
                  <c:v>Chile</c:v>
                </c:pt>
                <c:pt idx="7">
                  <c:v>High Income</c:v>
                </c:pt>
                <c:pt idx="8">
                  <c:v>Colombia</c:v>
                </c:pt>
                <c:pt idx="9">
                  <c:v>Mexico</c:v>
                </c:pt>
                <c:pt idx="10">
                  <c:v>LAC</c:v>
                </c:pt>
                <c:pt idx="11">
                  <c:v>Europe &amp; Central Asia</c:v>
                </c:pt>
                <c:pt idx="12">
                  <c:v>Paraguay</c:v>
                </c:pt>
                <c:pt idx="13">
                  <c:v>Ecuador</c:v>
                </c:pt>
                <c:pt idx="14">
                  <c:v>Peru</c:v>
                </c:pt>
                <c:pt idx="15">
                  <c:v>Sub-Saharan Africa</c:v>
                </c:pt>
                <c:pt idx="16">
                  <c:v>Costa Rica</c:v>
                </c:pt>
                <c:pt idx="17">
                  <c:v>Uruguay</c:v>
                </c:pt>
                <c:pt idx="18">
                  <c:v>Middle East &amp; North Africa</c:v>
                </c:pt>
                <c:pt idx="19">
                  <c:v>East Asia &amp; Pacific</c:v>
                </c:pt>
              </c:strCache>
            </c:strRef>
          </c:cat>
          <c:val>
            <c:numRef>
              <c:f>'Figure 7'!$M$2:$M$21</c:f>
              <c:numCache>
                <c:formatCode>0.0</c:formatCode>
                <c:ptCount val="20"/>
                <c:pt idx="0">
                  <c:v>6.4200000000000017</c:v>
                </c:pt>
                <c:pt idx="1">
                  <c:v>0.65000000000000568</c:v>
                </c:pt>
                <c:pt idx="2">
                  <c:v>0.73999999999999488</c:v>
                </c:pt>
                <c:pt idx="3">
                  <c:v>7.4829756672116332E-2</c:v>
                </c:pt>
                <c:pt idx="4">
                  <c:v>1.7199999999999989</c:v>
                </c:pt>
                <c:pt idx="5">
                  <c:v>0.18999999999999773</c:v>
                </c:pt>
                <c:pt idx="6">
                  <c:v>-0.20000000000000284</c:v>
                </c:pt>
                <c:pt idx="7">
                  <c:v>1.2136763842869129</c:v>
                </c:pt>
                <c:pt idx="8">
                  <c:v>-2.4899999999999949</c:v>
                </c:pt>
                <c:pt idx="9">
                  <c:v>0.78000000000000114</c:v>
                </c:pt>
                <c:pt idx="10">
                  <c:v>0.29999999999999716</c:v>
                </c:pt>
                <c:pt idx="11">
                  <c:v>9.6258955115445133E-2</c:v>
                </c:pt>
                <c:pt idx="12">
                  <c:v>0.11999999999999034</c:v>
                </c:pt>
                <c:pt idx="14">
                  <c:v>-0.17000000000000171</c:v>
                </c:pt>
                <c:pt idx="15">
                  <c:v>-1.3495321442411523</c:v>
                </c:pt>
                <c:pt idx="16">
                  <c:v>3.6499999999999986</c:v>
                </c:pt>
                <c:pt idx="17">
                  <c:v>-2.1200000000000045</c:v>
                </c:pt>
                <c:pt idx="18">
                  <c:v>-0.47981892969919926</c:v>
                </c:pt>
                <c:pt idx="19">
                  <c:v>-0.88076904188544347</c:v>
                </c:pt>
              </c:numCache>
            </c:numRef>
          </c:val>
          <c:smooth val="0"/>
          <c:extLst>
            <c:ext xmlns:c16="http://schemas.microsoft.com/office/drawing/2014/chart" uri="{C3380CC4-5D6E-409C-BE32-E72D297353CC}">
              <c16:uniqueId val="{0000000F-F4DB-4D56-88BB-C1D8CCE25219}"/>
            </c:ext>
          </c:extLst>
        </c:ser>
        <c:ser>
          <c:idx val="14"/>
          <c:order val="14"/>
          <c:tx>
            <c:strRef>
              <c:f>'Figure 7'!$S$1</c:f>
              <c:strCache>
                <c:ptCount val="1"/>
                <c:pt idx="0">
                  <c:v>2019-2024</c:v>
                </c:pt>
              </c:strCache>
            </c:strRef>
          </c:tx>
          <c:spPr>
            <a:ln w="28575" cap="rnd">
              <a:noFill/>
              <a:round/>
            </a:ln>
            <a:effectLst/>
          </c:spPr>
          <c:marker>
            <c:symbol val="circle"/>
            <c:size val="5"/>
            <c:spPr>
              <a:solidFill>
                <a:srgbClr val="002060"/>
              </a:solidFill>
              <a:ln w="9525">
                <a:noFill/>
              </a:ln>
              <a:effectLst/>
            </c:spPr>
          </c:marker>
          <c:cat>
            <c:strRef>
              <c:f>'Figure 7'!$A$2:$D$21</c:f>
              <c:strCache>
                <c:ptCount val="20"/>
                <c:pt idx="0">
                  <c:v>Bolivia</c:v>
                </c:pt>
                <c:pt idx="1">
                  <c:v>El Salvador</c:v>
                </c:pt>
                <c:pt idx="2">
                  <c:v>Argentina</c:v>
                </c:pt>
                <c:pt idx="3">
                  <c:v>South Asia</c:v>
                </c:pt>
                <c:pt idx="4">
                  <c:v>Dominican Republic</c:v>
                </c:pt>
                <c:pt idx="5">
                  <c:v>Brazil</c:v>
                </c:pt>
                <c:pt idx="6">
                  <c:v>Chile</c:v>
                </c:pt>
                <c:pt idx="7">
                  <c:v>High Income</c:v>
                </c:pt>
                <c:pt idx="8">
                  <c:v>Colombia</c:v>
                </c:pt>
                <c:pt idx="9">
                  <c:v>Mexico</c:v>
                </c:pt>
                <c:pt idx="10">
                  <c:v>LAC</c:v>
                </c:pt>
                <c:pt idx="11">
                  <c:v>Europe &amp; Central Asia</c:v>
                </c:pt>
                <c:pt idx="12">
                  <c:v>Paraguay</c:v>
                </c:pt>
                <c:pt idx="13">
                  <c:v>Ecuador</c:v>
                </c:pt>
                <c:pt idx="14">
                  <c:v>Peru</c:v>
                </c:pt>
                <c:pt idx="15">
                  <c:v>Sub-Saharan Africa</c:v>
                </c:pt>
                <c:pt idx="16">
                  <c:v>Costa Rica</c:v>
                </c:pt>
                <c:pt idx="17">
                  <c:v>Uruguay</c:v>
                </c:pt>
                <c:pt idx="18">
                  <c:v>Middle East &amp; North Africa</c:v>
                </c:pt>
                <c:pt idx="19">
                  <c:v>East Asia &amp; Pacific</c:v>
                </c:pt>
              </c:strCache>
            </c:strRef>
          </c:cat>
          <c:val>
            <c:numRef>
              <c:f>'Figure 7'!$S$2:$S$21</c:f>
              <c:numCache>
                <c:formatCode>0.0</c:formatCode>
                <c:ptCount val="20"/>
                <c:pt idx="0">
                  <c:v>5.6599999999999966</c:v>
                </c:pt>
                <c:pt idx="1">
                  <c:v>4.3699999999999974</c:v>
                </c:pt>
                <c:pt idx="2">
                  <c:v>3.6600000000000037</c:v>
                </c:pt>
                <c:pt idx="3">
                  <c:v>2.5046561396735498</c:v>
                </c:pt>
                <c:pt idx="4">
                  <c:v>0.91000000000000369</c:v>
                </c:pt>
                <c:pt idx="5">
                  <c:v>1.7700000000000031</c:v>
                </c:pt>
                <c:pt idx="6">
                  <c:v>2</c:v>
                </c:pt>
                <c:pt idx="7">
                  <c:v>1.3184986475492124</c:v>
                </c:pt>
                <c:pt idx="8">
                  <c:v>5.2100000000000009</c:v>
                </c:pt>
                <c:pt idx="9">
                  <c:v>0.50999999999999801</c:v>
                </c:pt>
                <c:pt idx="10">
                  <c:v>1</c:v>
                </c:pt>
                <c:pt idx="11">
                  <c:v>1.9739301711271793</c:v>
                </c:pt>
                <c:pt idx="12">
                  <c:v>0.35000000000000853</c:v>
                </c:pt>
                <c:pt idx="13">
                  <c:v>6.0000000000002274E-2</c:v>
                </c:pt>
                <c:pt idx="14">
                  <c:v>0.19000000000000483</c:v>
                </c:pt>
                <c:pt idx="15">
                  <c:v>2.3968352955632852</c:v>
                </c:pt>
                <c:pt idx="16">
                  <c:v>-4.1000000000000014</c:v>
                </c:pt>
                <c:pt idx="17">
                  <c:v>-4.9999999999997158E-2</c:v>
                </c:pt>
                <c:pt idx="18">
                  <c:v>0.36086612922437666</c:v>
                </c:pt>
                <c:pt idx="19">
                  <c:v>-0.35404489580918863</c:v>
                </c:pt>
              </c:numCache>
            </c:numRef>
          </c:val>
          <c:smooth val="0"/>
          <c:extLst>
            <c:ext xmlns:c16="http://schemas.microsoft.com/office/drawing/2014/chart" uri="{C3380CC4-5D6E-409C-BE32-E72D297353CC}">
              <c16:uniqueId val="{00000010-F4DB-4D56-88BB-C1D8CCE25219}"/>
            </c:ext>
          </c:extLst>
        </c:ser>
        <c:dLbls>
          <c:showLegendKey val="0"/>
          <c:showVal val="0"/>
          <c:showCatName val="0"/>
          <c:showSerName val="0"/>
          <c:showPercent val="0"/>
          <c:showBubbleSize val="0"/>
        </c:dLbls>
        <c:marker val="1"/>
        <c:smooth val="0"/>
        <c:axId val="1155853359"/>
        <c:axId val="1155853839"/>
      </c:lineChart>
      <c:catAx>
        <c:axId val="115585335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accent5"/>
                </a:solidFill>
                <a:latin typeface="+mn-lt"/>
                <a:ea typeface="+mn-ea"/>
                <a:cs typeface="+mn-cs"/>
              </a:defRPr>
            </a:pPr>
            <a:endParaRPr lang="en-US"/>
          </a:p>
        </c:txPr>
        <c:crossAx val="1155853839"/>
        <c:crosses val="autoZero"/>
        <c:auto val="1"/>
        <c:lblAlgn val="ctr"/>
        <c:lblOffset val="100"/>
        <c:noMultiLvlLbl val="0"/>
      </c:catAx>
      <c:valAx>
        <c:axId val="11558538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Change</a:t>
                </a:r>
                <a:r>
                  <a:rPr lang="en-US" baseline="0">
                    <a:solidFill>
                      <a:schemeClr val="tx1"/>
                    </a:solidFill>
                  </a:rPr>
                  <a:t> (p.p.)</a:t>
                </a:r>
                <a:endParaRPr lang="en-US">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55853359"/>
        <c:crosses val="autoZero"/>
        <c:crossBetween val="between"/>
      </c:valAx>
      <c:spPr>
        <a:noFill/>
        <a:ln>
          <a:noFill/>
        </a:ln>
        <a:effectLst/>
      </c:spPr>
    </c:plotArea>
    <c:legend>
      <c:legendPos val="tr"/>
      <c:layout>
        <c:manualLayout>
          <c:xMode val="edge"/>
          <c:yMode val="edge"/>
          <c:x val="0.57619973603603714"/>
          <c:y val="7.8611056595955547E-2"/>
          <c:w val="9.3771637282491938E-2"/>
          <c:h val="0.11705037042593065"/>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931624807086602E-2"/>
          <c:y val="8.5127921048032629E-2"/>
          <c:w val="0.91679057052401869"/>
          <c:h val="0.69253950511035711"/>
        </c:manualLayout>
      </c:layout>
      <c:barChart>
        <c:barDir val="col"/>
        <c:grouping val="clustered"/>
        <c:varyColors val="0"/>
        <c:ser>
          <c:idx val="0"/>
          <c:order val="0"/>
          <c:tx>
            <c:strRef>
              <c:f>'Figure 8'!$A$1</c:f>
              <c:strCache>
                <c:ptCount val="1"/>
                <c:pt idx="0">
                  <c:v>Informality (productive definition)</c:v>
                </c:pt>
              </c:strCache>
            </c:strRef>
          </c:tx>
          <c:spPr>
            <a:solidFill>
              <a:schemeClr val="accent5"/>
            </a:solidFill>
            <a:ln>
              <a:noFill/>
            </a:ln>
            <a:effectLst/>
          </c:spPr>
          <c:invertIfNegative val="0"/>
          <c:dPt>
            <c:idx val="8"/>
            <c:invertIfNegative val="0"/>
            <c:bubble3D val="0"/>
            <c:spPr>
              <a:solidFill>
                <a:schemeClr val="accent5">
                  <a:alpha val="50000"/>
                </a:schemeClr>
              </a:solidFill>
              <a:ln>
                <a:noFill/>
              </a:ln>
              <a:effectLst/>
            </c:spPr>
            <c:extLst>
              <c:ext xmlns:c16="http://schemas.microsoft.com/office/drawing/2014/chart" uri="{C3380CC4-5D6E-409C-BE32-E72D297353CC}">
                <c16:uniqueId val="{00000001-E051-41B4-A38D-1B5D8562CF22}"/>
              </c:ext>
            </c:extLst>
          </c:dPt>
          <c:cat>
            <c:strRef>
              <c:extLst>
                <c:ext xmlns:c15="http://schemas.microsoft.com/office/drawing/2012/chart" uri="{02D57815-91ED-43cb-92C2-25804820EDAC}">
                  <c15:fullRef>
                    <c15:sqref>'Figure 8'!$M$3:$M$17</c15:sqref>
                  </c15:fullRef>
                </c:ext>
              </c:extLst>
              <c:f>'Figure 8'!$M$4:$M$17</c:f>
              <c:strCache>
                <c:ptCount val="14"/>
                <c:pt idx="0">
                  <c:v>Peru</c:v>
                </c:pt>
                <c:pt idx="1">
                  <c:v>Bolivia</c:v>
                </c:pt>
                <c:pt idx="2">
                  <c:v>Paraguay</c:v>
                </c:pt>
                <c:pt idx="3">
                  <c:v>Dominican Republic</c:v>
                </c:pt>
                <c:pt idx="4">
                  <c:v>Argentina</c:v>
                </c:pt>
                <c:pt idx="5">
                  <c:v>El Salvador</c:v>
                </c:pt>
                <c:pt idx="6">
                  <c:v>Uruguay</c:v>
                </c:pt>
                <c:pt idx="7">
                  <c:v>Ecuador</c:v>
                </c:pt>
                <c:pt idx="8">
                  <c:v>LAC</c:v>
                </c:pt>
                <c:pt idx="9">
                  <c:v>Brazil</c:v>
                </c:pt>
                <c:pt idx="10">
                  <c:v>Mexico</c:v>
                </c:pt>
                <c:pt idx="11">
                  <c:v>Chile</c:v>
                </c:pt>
                <c:pt idx="12">
                  <c:v>Colombia</c:v>
                </c:pt>
                <c:pt idx="13">
                  <c:v>Costa Rica</c:v>
                </c:pt>
              </c:strCache>
            </c:strRef>
          </c:cat>
          <c:val>
            <c:numRef>
              <c:extLst>
                <c:ext xmlns:c15="http://schemas.microsoft.com/office/drawing/2012/chart" uri="{02D57815-91ED-43cb-92C2-25804820EDAC}">
                  <c15:fullRef>
                    <c15:sqref>'Figure 8'!$D$3:$D$17</c15:sqref>
                  </c15:fullRef>
                </c:ext>
              </c:extLst>
              <c:f>'Figure 8'!$D$4:$D$17</c:f>
              <c:numCache>
                <c:formatCode>0.0</c:formatCode>
                <c:ptCount val="14"/>
                <c:pt idx="0">
                  <c:v>3.1269934931252998</c:v>
                </c:pt>
                <c:pt idx="1">
                  <c:v>1.6106453836799</c:v>
                </c:pt>
                <c:pt idx="2">
                  <c:v>-1.7390147322160501E-2</c:v>
                </c:pt>
                <c:pt idx="3">
                  <c:v>-0.67813050543351605</c:v>
                </c:pt>
                <c:pt idx="4">
                  <c:v>-1.0755903283456001</c:v>
                </c:pt>
                <c:pt idx="5">
                  <c:v>-1.1841125268135899</c:v>
                </c:pt>
                <c:pt idx="6">
                  <c:v>-1.35304254839494</c:v>
                </c:pt>
                <c:pt idx="7">
                  <c:v>-1.5374429445548801</c:v>
                </c:pt>
                <c:pt idx="8">
                  <c:v>-2.3082325950855633</c:v>
                </c:pt>
                <c:pt idx="9">
                  <c:v>-2.6721778994171701</c:v>
                </c:pt>
                <c:pt idx="10">
                  <c:v>-2.9486568522133698</c:v>
                </c:pt>
                <c:pt idx="11">
                  <c:v>-3.3129656332112298</c:v>
                </c:pt>
                <c:pt idx="12">
                  <c:v>-4.1960814614329101</c:v>
                </c:pt>
                <c:pt idx="13">
                  <c:v>-4.5772991567697199</c:v>
                </c:pt>
              </c:numCache>
            </c:numRef>
          </c:val>
          <c:extLst>
            <c:ext xmlns:c16="http://schemas.microsoft.com/office/drawing/2014/chart" uri="{C3380CC4-5D6E-409C-BE32-E72D297353CC}">
              <c16:uniqueId val="{00000002-E051-41B4-A38D-1B5D8562CF22}"/>
            </c:ext>
          </c:extLst>
        </c:ser>
        <c:ser>
          <c:idx val="1"/>
          <c:order val="1"/>
          <c:tx>
            <c:strRef>
              <c:f>'Figure 8'!$E$1</c:f>
              <c:strCache>
                <c:ptCount val="1"/>
                <c:pt idx="0">
                  <c:v>Informality (social protection definition)</c:v>
                </c:pt>
              </c:strCache>
            </c:strRef>
          </c:tx>
          <c:spPr>
            <a:solidFill>
              <a:srgbClr val="002060">
                <a:alpha val="80000"/>
              </a:srgbClr>
            </a:solidFill>
            <a:ln>
              <a:noFill/>
            </a:ln>
            <a:effectLst/>
          </c:spPr>
          <c:invertIfNegative val="0"/>
          <c:dPt>
            <c:idx val="8"/>
            <c:invertIfNegative val="0"/>
            <c:bubble3D val="0"/>
            <c:spPr>
              <a:solidFill>
                <a:srgbClr val="002060">
                  <a:alpha val="40000"/>
                </a:srgbClr>
              </a:solidFill>
              <a:ln>
                <a:noFill/>
              </a:ln>
              <a:effectLst/>
            </c:spPr>
            <c:extLst>
              <c:ext xmlns:c16="http://schemas.microsoft.com/office/drawing/2014/chart" uri="{C3380CC4-5D6E-409C-BE32-E72D297353CC}">
                <c16:uniqueId val="{00000004-E051-41B4-A38D-1B5D8562CF22}"/>
              </c:ext>
            </c:extLst>
          </c:dPt>
          <c:cat>
            <c:strRef>
              <c:extLst>
                <c:ext xmlns:c15="http://schemas.microsoft.com/office/drawing/2012/chart" uri="{02D57815-91ED-43cb-92C2-25804820EDAC}">
                  <c15:fullRef>
                    <c15:sqref>'Figure 8'!$M$3:$M$17</c15:sqref>
                  </c15:fullRef>
                </c:ext>
              </c:extLst>
              <c:f>'Figure 8'!$M$4:$M$17</c:f>
              <c:strCache>
                <c:ptCount val="14"/>
                <c:pt idx="0">
                  <c:v>Peru</c:v>
                </c:pt>
                <c:pt idx="1">
                  <c:v>Bolivia</c:v>
                </c:pt>
                <c:pt idx="2">
                  <c:v>Paraguay</c:v>
                </c:pt>
                <c:pt idx="3">
                  <c:v>Dominican Republic</c:v>
                </c:pt>
                <c:pt idx="4">
                  <c:v>Argentina</c:v>
                </c:pt>
                <c:pt idx="5">
                  <c:v>El Salvador</c:v>
                </c:pt>
                <c:pt idx="6">
                  <c:v>Uruguay</c:v>
                </c:pt>
                <c:pt idx="7">
                  <c:v>Ecuador</c:v>
                </c:pt>
                <c:pt idx="8">
                  <c:v>LAC</c:v>
                </c:pt>
                <c:pt idx="9">
                  <c:v>Brazil</c:v>
                </c:pt>
                <c:pt idx="10">
                  <c:v>Mexico</c:v>
                </c:pt>
                <c:pt idx="11">
                  <c:v>Chile</c:v>
                </c:pt>
                <c:pt idx="12">
                  <c:v>Colombia</c:v>
                </c:pt>
                <c:pt idx="13">
                  <c:v>Costa Rica</c:v>
                </c:pt>
              </c:strCache>
            </c:strRef>
          </c:cat>
          <c:val>
            <c:numRef>
              <c:extLst>
                <c:ext xmlns:c15="http://schemas.microsoft.com/office/drawing/2012/chart" uri="{02D57815-91ED-43cb-92C2-25804820EDAC}">
                  <c15:fullRef>
                    <c15:sqref>'Figure 8'!$H$3:$H$17</c15:sqref>
                  </c15:fullRef>
                </c:ext>
              </c:extLst>
              <c:f>'Figure 8'!$H$4:$H$17</c:f>
              <c:numCache>
                <c:formatCode>0.0</c:formatCode>
                <c:ptCount val="14"/>
                <c:pt idx="0">
                  <c:v>6.9304245283887704</c:v>
                </c:pt>
                <c:pt idx="1">
                  <c:v>7.0717856907461503</c:v>
                </c:pt>
                <c:pt idx="2">
                  <c:v>1.2016955868136101</c:v>
                </c:pt>
                <c:pt idx="3">
                  <c:v>-2.8601537379872601</c:v>
                </c:pt>
                <c:pt idx="4">
                  <c:v>2.9721375020740899</c:v>
                </c:pt>
                <c:pt idx="5">
                  <c:v>-0.49056829160373799</c:v>
                </c:pt>
                <c:pt idx="6">
                  <c:v>-1.37574091964376</c:v>
                </c:pt>
                <c:pt idx="7">
                  <c:v>2.05370245969472</c:v>
                </c:pt>
                <c:pt idx="8">
                  <c:v>0.56093665412445404</c:v>
                </c:pt>
                <c:pt idx="9">
                  <c:v>1.6016911681089201</c:v>
                </c:pt>
                <c:pt idx="10">
                  <c:v>-3.1136598071288901</c:v>
                </c:pt>
                <c:pt idx="11">
                  <c:v>-2.2809037330847901</c:v>
                </c:pt>
                <c:pt idx="12">
                  <c:v>-0.62340907263854195</c:v>
                </c:pt>
                <c:pt idx="13">
                  <c:v>-3.5924251135844698</c:v>
                </c:pt>
              </c:numCache>
            </c:numRef>
          </c:val>
          <c:extLst>
            <c:ext xmlns:c16="http://schemas.microsoft.com/office/drawing/2014/chart" uri="{C3380CC4-5D6E-409C-BE32-E72D297353CC}">
              <c16:uniqueId val="{00000005-E051-41B4-A38D-1B5D8562CF22}"/>
            </c:ext>
          </c:extLst>
        </c:ser>
        <c:dLbls>
          <c:showLegendKey val="0"/>
          <c:showVal val="0"/>
          <c:showCatName val="0"/>
          <c:showSerName val="0"/>
          <c:showPercent val="0"/>
          <c:showBubbleSize val="0"/>
        </c:dLbls>
        <c:gapWidth val="219"/>
        <c:axId val="1224553999"/>
        <c:axId val="1224552559"/>
      </c:barChart>
      <c:lineChart>
        <c:grouping val="standard"/>
        <c:varyColors val="0"/>
        <c:ser>
          <c:idx val="2"/>
          <c:order val="2"/>
          <c:tx>
            <c:strRef>
              <c:f>'Figure 8'!$I$1</c:f>
              <c:strCache>
                <c:ptCount val="1"/>
                <c:pt idx="0">
                  <c:v>Wage employment</c:v>
                </c:pt>
              </c:strCache>
            </c:strRef>
          </c:tx>
          <c:spPr>
            <a:ln w="28575" cap="rnd">
              <a:noFill/>
              <a:round/>
            </a:ln>
            <a:effectLst/>
          </c:spPr>
          <c:marker>
            <c:symbol val="diamond"/>
            <c:size val="9"/>
            <c:spPr>
              <a:solidFill>
                <a:schemeClr val="bg2">
                  <a:lumMod val="50000"/>
                </a:schemeClr>
              </a:solidFill>
              <a:ln w="9525">
                <a:solidFill>
                  <a:schemeClr val="bg2">
                    <a:lumMod val="75000"/>
                  </a:schemeClr>
                </a:solidFill>
              </a:ln>
              <a:effectLst/>
            </c:spPr>
          </c:marker>
          <c:cat>
            <c:strLit>
              <c:ptCount val="14"/>
              <c:pt idx="0">
                <c:v>Peru</c:v>
              </c:pt>
              <c:pt idx="1">
                <c:v>Bolivia</c:v>
              </c:pt>
              <c:pt idx="2">
                <c:v>Paraguay</c:v>
              </c:pt>
              <c:pt idx="3">
                <c:v>Dominican Republic</c:v>
              </c:pt>
              <c:pt idx="4">
                <c:v>Argentina</c:v>
              </c:pt>
              <c:pt idx="5">
                <c:v>El Salvador</c:v>
              </c:pt>
              <c:pt idx="6">
                <c:v>Uruguay</c:v>
              </c:pt>
              <c:pt idx="7">
                <c:v>Ecuador</c:v>
              </c:pt>
              <c:pt idx="8">
                <c:v>LAC</c:v>
              </c:pt>
              <c:pt idx="9">
                <c:v>Brazil</c:v>
              </c:pt>
              <c:pt idx="10">
                <c:v>Mexico</c:v>
              </c:pt>
              <c:pt idx="11">
                <c:v>Chile</c:v>
              </c:pt>
              <c:pt idx="12">
                <c:v>Colombia</c:v>
              </c:pt>
              <c:pt idx="13">
                <c:v>Costa Rica</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'Figure 8'!$L$3:$L$17</c15:sqref>
                  </c15:fullRef>
                </c:ext>
              </c:extLst>
              <c:f>'Figure 8'!$L$4:$L$17</c:f>
              <c:numCache>
                <c:formatCode>0.0</c:formatCode>
                <c:ptCount val="14"/>
                <c:pt idx="0">
                  <c:v>-3.1995341983039398</c:v>
                </c:pt>
                <c:pt idx="1">
                  <c:v>3.0861242119842101</c:v>
                </c:pt>
                <c:pt idx="2">
                  <c:v>2.35421869550829</c:v>
                </c:pt>
                <c:pt idx="3">
                  <c:v>1.8066038302805101</c:v>
                </c:pt>
                <c:pt idx="4">
                  <c:v>-1.76490824657398</c:v>
                </c:pt>
                <c:pt idx="5">
                  <c:v>2.6160499547619702</c:v>
                </c:pt>
                <c:pt idx="6">
                  <c:v>-1.2267900008797601</c:v>
                </c:pt>
                <c:pt idx="7">
                  <c:v>3.5389006492271999</c:v>
                </c:pt>
                <c:pt idx="8">
                  <c:v>0.13938733607565723</c:v>
                </c:pt>
                <c:pt idx="9">
                  <c:v>0.200330619925326</c:v>
                </c:pt>
                <c:pt idx="10">
                  <c:v>0.56952402260984603</c:v>
                </c:pt>
                <c:pt idx="11">
                  <c:v>2.1593920436133001</c:v>
                </c:pt>
                <c:pt idx="12">
                  <c:v>5.6179614170906396</c:v>
                </c:pt>
                <c:pt idx="13">
                  <c:v>-2.2431779900534701</c:v>
                </c:pt>
              </c:numCache>
            </c:numRef>
          </c:val>
          <c:smooth val="0"/>
          <c:extLst>
            <c:ext xmlns:c16="http://schemas.microsoft.com/office/drawing/2014/chart" uri="{C3380CC4-5D6E-409C-BE32-E72D297353CC}">
              <c16:uniqueId val="{00000006-E051-41B4-A38D-1B5D8562CF22}"/>
            </c:ext>
          </c:extLst>
        </c:ser>
        <c:dLbls>
          <c:showLegendKey val="0"/>
          <c:showVal val="0"/>
          <c:showCatName val="0"/>
          <c:showSerName val="0"/>
          <c:showPercent val="0"/>
          <c:showBubbleSize val="0"/>
        </c:dLbls>
        <c:marker val="1"/>
        <c:smooth val="0"/>
        <c:axId val="1224553999"/>
        <c:axId val="1224552559"/>
      </c:lineChart>
      <c:catAx>
        <c:axId val="122455399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24552559"/>
        <c:crosses val="autoZero"/>
        <c:auto val="1"/>
        <c:lblAlgn val="ctr"/>
        <c:lblOffset val="100"/>
        <c:noMultiLvlLbl val="0"/>
      </c:catAx>
      <c:valAx>
        <c:axId val="12245525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Change</a:t>
                </a:r>
                <a:r>
                  <a:rPr lang="en-US" baseline="0">
                    <a:solidFill>
                      <a:schemeClr val="tx1"/>
                    </a:solidFill>
                  </a:rPr>
                  <a:t> (p.p.)</a:t>
                </a:r>
                <a:endParaRPr lang="en-US">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24553999"/>
        <c:crosses val="autoZero"/>
        <c:crossBetween val="between"/>
      </c:valAx>
      <c:spPr>
        <a:noFill/>
        <a:ln>
          <a:noFill/>
        </a:ln>
        <a:effectLst/>
      </c:spPr>
    </c:plotArea>
    <c:legend>
      <c:legendPos val="tr"/>
      <c:layout>
        <c:manualLayout>
          <c:xMode val="edge"/>
          <c:yMode val="edge"/>
          <c:x val="0.74375511039965392"/>
          <c:y val="2.125477704906141E-3"/>
          <c:w val="0.25624488960034614"/>
          <c:h val="0.1413340455629086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sz="1200" b="1">
                <a:solidFill>
                  <a:sysClr val="windowText" lastClr="000000"/>
                </a:solidFill>
              </a:rPr>
              <a:t>Average total labor income</a:t>
            </a:r>
          </a:p>
        </c:rich>
      </c:tx>
      <c:layout>
        <c:manualLayout>
          <c:xMode val="edge"/>
          <c:yMode val="edge"/>
          <c:x val="0.10026599808009279"/>
          <c:y val="1.9900097332890762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9.9726949426840933E-2"/>
          <c:y val="0.12550205650894514"/>
          <c:w val="0.88010568605217854"/>
          <c:h val="0.78051017564591729"/>
        </c:manualLayout>
      </c:layout>
      <c:barChart>
        <c:barDir val="col"/>
        <c:grouping val="clustered"/>
        <c:varyColors val="0"/>
        <c:ser>
          <c:idx val="1"/>
          <c:order val="0"/>
          <c:tx>
            <c:strRef>
              <c:f>'Figure 9'!$A$4</c:f>
              <c:strCache>
                <c:ptCount val="1"/>
                <c:pt idx="0">
                  <c:v>2016</c:v>
                </c:pt>
              </c:strCache>
            </c:strRef>
          </c:tx>
          <c:spPr>
            <a:solidFill>
              <a:schemeClr val="accent5">
                <a:lumMod val="20000"/>
                <a:lumOff val="80000"/>
              </a:schemeClr>
            </a:solidFill>
            <a:ln>
              <a:noFill/>
            </a:ln>
            <a:effectLst/>
          </c:spPr>
          <c:invertIfNegative val="0"/>
          <c:cat>
            <c:strRef>
              <c:f>'Figure 9'!$B$2:$M$2</c:f>
              <c:strCache>
                <c:ptCount val="11"/>
                <c:pt idx="0">
                  <c:v>Total</c:v>
                </c:pt>
                <c:pt idx="1">
                  <c:v>Male</c:v>
                </c:pt>
                <c:pt idx="2">
                  <c:v>Female</c:v>
                </c:pt>
                <c:pt idx="3">
                  <c:v>15-24</c:v>
                </c:pt>
                <c:pt idx="4">
                  <c:v>25-44</c:v>
                </c:pt>
                <c:pt idx="5">
                  <c:v>45-54</c:v>
                </c:pt>
                <c:pt idx="6">
                  <c:v>55-64</c:v>
                </c:pt>
                <c:pt idx="7">
                  <c:v> 65+</c:v>
                </c:pt>
                <c:pt idx="8">
                  <c:v>Low</c:v>
                </c:pt>
                <c:pt idx="9">
                  <c:v>Middle</c:v>
                </c:pt>
                <c:pt idx="10">
                  <c:v>High</c:v>
                </c:pt>
              </c:strCache>
            </c:strRef>
          </c:cat>
          <c:val>
            <c:numRef>
              <c:f>'Figure 9'!$B$4:$M$4</c:f>
              <c:numCache>
                <c:formatCode>0.0</c:formatCode>
                <c:ptCount val="11"/>
                <c:pt idx="0">
                  <c:v>836.79398471752472</c:v>
                </c:pt>
                <c:pt idx="1">
                  <c:v>922.43193285732184</c:v>
                </c:pt>
                <c:pt idx="2">
                  <c:v>712.63930978328949</c:v>
                </c:pt>
                <c:pt idx="3">
                  <c:v>506.37392709507708</c:v>
                </c:pt>
                <c:pt idx="4">
                  <c:v>862.86554052361271</c:v>
                </c:pt>
                <c:pt idx="5">
                  <c:v>960.78600651384215</c:v>
                </c:pt>
                <c:pt idx="6">
                  <c:v>970.11515595640742</c:v>
                </c:pt>
                <c:pt idx="7">
                  <c:v>865.93709257171497</c:v>
                </c:pt>
                <c:pt idx="8">
                  <c:v>530.70000000000005</c:v>
                </c:pt>
                <c:pt idx="9">
                  <c:v>756.3</c:v>
                </c:pt>
                <c:pt idx="10">
                  <c:v>1803.1</c:v>
                </c:pt>
              </c:numCache>
            </c:numRef>
          </c:val>
          <c:extLst>
            <c:ext xmlns:c16="http://schemas.microsoft.com/office/drawing/2014/chart" uri="{C3380CC4-5D6E-409C-BE32-E72D297353CC}">
              <c16:uniqueId val="{00000000-BDCB-441B-BF26-1FCE00404944}"/>
            </c:ext>
          </c:extLst>
        </c:ser>
        <c:ser>
          <c:idx val="2"/>
          <c:order val="1"/>
          <c:tx>
            <c:strRef>
              <c:f>'Figure 9'!$A$8</c:f>
              <c:strCache>
                <c:ptCount val="1"/>
                <c:pt idx="0">
                  <c:v>2019</c:v>
                </c:pt>
              </c:strCache>
            </c:strRef>
          </c:tx>
          <c:spPr>
            <a:solidFill>
              <a:schemeClr val="accent5">
                <a:lumMod val="40000"/>
                <a:lumOff val="60000"/>
              </a:schemeClr>
            </a:solidFill>
            <a:ln>
              <a:noFill/>
            </a:ln>
            <a:effectLst/>
          </c:spPr>
          <c:invertIfNegative val="0"/>
          <c:cat>
            <c:strRef>
              <c:f>'Figure 9'!$B$2:$M$2</c:f>
              <c:strCache>
                <c:ptCount val="11"/>
                <c:pt idx="0">
                  <c:v>Total</c:v>
                </c:pt>
                <c:pt idx="1">
                  <c:v>Male</c:v>
                </c:pt>
                <c:pt idx="2">
                  <c:v>Female</c:v>
                </c:pt>
                <c:pt idx="3">
                  <c:v>15-24</c:v>
                </c:pt>
                <c:pt idx="4">
                  <c:v>25-44</c:v>
                </c:pt>
                <c:pt idx="5">
                  <c:v>45-54</c:v>
                </c:pt>
                <c:pt idx="6">
                  <c:v>55-64</c:v>
                </c:pt>
                <c:pt idx="7">
                  <c:v> 65+</c:v>
                </c:pt>
                <c:pt idx="8">
                  <c:v>Low</c:v>
                </c:pt>
                <c:pt idx="9">
                  <c:v>Middle</c:v>
                </c:pt>
                <c:pt idx="10">
                  <c:v>High</c:v>
                </c:pt>
              </c:strCache>
            </c:strRef>
          </c:cat>
          <c:val>
            <c:numRef>
              <c:f>'Figure 9'!$B$8:$M$8</c:f>
              <c:numCache>
                <c:formatCode>0.0</c:formatCode>
                <c:ptCount val="11"/>
                <c:pt idx="0">
                  <c:v>844.07962901580811</c:v>
                </c:pt>
                <c:pt idx="1">
                  <c:v>932.76181030086696</c:v>
                </c:pt>
                <c:pt idx="2">
                  <c:v>720.93782891381954</c:v>
                </c:pt>
                <c:pt idx="3">
                  <c:v>491.89943906170322</c:v>
                </c:pt>
                <c:pt idx="4">
                  <c:v>872.60056603773592</c:v>
                </c:pt>
                <c:pt idx="5">
                  <c:v>964.30706017338105</c:v>
                </c:pt>
                <c:pt idx="6">
                  <c:v>960.20996940336556</c:v>
                </c:pt>
                <c:pt idx="7">
                  <c:v>907.1046264660888</c:v>
                </c:pt>
                <c:pt idx="8">
                  <c:v>552.4</c:v>
                </c:pt>
                <c:pt idx="9">
                  <c:v>762.8</c:v>
                </c:pt>
                <c:pt idx="10">
                  <c:v>1730</c:v>
                </c:pt>
              </c:numCache>
            </c:numRef>
          </c:val>
          <c:extLst>
            <c:ext xmlns:c16="http://schemas.microsoft.com/office/drawing/2014/chart" uri="{C3380CC4-5D6E-409C-BE32-E72D297353CC}">
              <c16:uniqueId val="{00000001-BDCB-441B-BF26-1FCE00404944}"/>
            </c:ext>
          </c:extLst>
        </c:ser>
        <c:ser>
          <c:idx val="3"/>
          <c:order val="2"/>
          <c:tx>
            <c:strRef>
              <c:f>'Figure 9'!$A$12</c:f>
              <c:strCache>
                <c:ptCount val="1"/>
                <c:pt idx="0">
                  <c:v>2023</c:v>
                </c:pt>
              </c:strCache>
            </c:strRef>
          </c:tx>
          <c:spPr>
            <a:solidFill>
              <a:schemeClr val="accent5">
                <a:lumMod val="60000"/>
                <a:lumOff val="40000"/>
              </a:schemeClr>
            </a:solidFill>
            <a:ln>
              <a:noFill/>
            </a:ln>
            <a:effectLst/>
          </c:spPr>
          <c:invertIfNegative val="0"/>
          <c:cat>
            <c:strRef>
              <c:f>'Figure 9'!$B$2:$M$2</c:f>
              <c:strCache>
                <c:ptCount val="11"/>
                <c:pt idx="0">
                  <c:v>Total</c:v>
                </c:pt>
                <c:pt idx="1">
                  <c:v>Male</c:v>
                </c:pt>
                <c:pt idx="2">
                  <c:v>Female</c:v>
                </c:pt>
                <c:pt idx="3">
                  <c:v>15-24</c:v>
                </c:pt>
                <c:pt idx="4">
                  <c:v>25-44</c:v>
                </c:pt>
                <c:pt idx="5">
                  <c:v>45-54</c:v>
                </c:pt>
                <c:pt idx="6">
                  <c:v>55-64</c:v>
                </c:pt>
                <c:pt idx="7">
                  <c:v> 65+</c:v>
                </c:pt>
                <c:pt idx="8">
                  <c:v>Low</c:v>
                </c:pt>
                <c:pt idx="9">
                  <c:v>Middle</c:v>
                </c:pt>
                <c:pt idx="10">
                  <c:v>High</c:v>
                </c:pt>
              </c:strCache>
            </c:strRef>
          </c:cat>
          <c:val>
            <c:numRef>
              <c:f>'Figure 9'!$B$12:$M$12</c:f>
              <c:numCache>
                <c:formatCode>0.0</c:formatCode>
                <c:ptCount val="11"/>
                <c:pt idx="0">
                  <c:v>849.36466437833712</c:v>
                </c:pt>
                <c:pt idx="1">
                  <c:v>936.95509280447504</c:v>
                </c:pt>
                <c:pt idx="2">
                  <c:v>730.40468090516151</c:v>
                </c:pt>
                <c:pt idx="3">
                  <c:v>524.19360030511064</c:v>
                </c:pt>
                <c:pt idx="4">
                  <c:v>889.85634248665144</c:v>
                </c:pt>
                <c:pt idx="5">
                  <c:v>950.54825197050616</c:v>
                </c:pt>
                <c:pt idx="6">
                  <c:v>912.54554411390802</c:v>
                </c:pt>
                <c:pt idx="7">
                  <c:v>842.39122171370457</c:v>
                </c:pt>
                <c:pt idx="8">
                  <c:v>562.97974192728202</c:v>
                </c:pt>
                <c:pt idx="9">
                  <c:v>739.67994406305627</c:v>
                </c:pt>
                <c:pt idx="10">
                  <c:v>1595.3042664632601</c:v>
                </c:pt>
              </c:numCache>
            </c:numRef>
          </c:val>
          <c:extLst>
            <c:ext xmlns:c16="http://schemas.microsoft.com/office/drawing/2014/chart" uri="{C3380CC4-5D6E-409C-BE32-E72D297353CC}">
              <c16:uniqueId val="{00000002-BDCB-441B-BF26-1FCE00404944}"/>
            </c:ext>
          </c:extLst>
        </c:ser>
        <c:ser>
          <c:idx val="4"/>
          <c:order val="3"/>
          <c:tx>
            <c:strRef>
              <c:f>'Figure 9'!$A$16</c:f>
              <c:strCache>
                <c:ptCount val="1"/>
                <c:pt idx="0">
                  <c:v>2024</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9'!$B$2:$M$2</c:f>
              <c:strCache>
                <c:ptCount val="11"/>
                <c:pt idx="0">
                  <c:v>Total</c:v>
                </c:pt>
                <c:pt idx="1">
                  <c:v>Male</c:v>
                </c:pt>
                <c:pt idx="2">
                  <c:v>Female</c:v>
                </c:pt>
                <c:pt idx="3">
                  <c:v>15-24</c:v>
                </c:pt>
                <c:pt idx="4">
                  <c:v>25-44</c:v>
                </c:pt>
                <c:pt idx="5">
                  <c:v>45-54</c:v>
                </c:pt>
                <c:pt idx="6">
                  <c:v>55-64</c:v>
                </c:pt>
                <c:pt idx="7">
                  <c:v> 65+</c:v>
                </c:pt>
                <c:pt idx="8">
                  <c:v>Low</c:v>
                </c:pt>
                <c:pt idx="9">
                  <c:v>Middle</c:v>
                </c:pt>
                <c:pt idx="10">
                  <c:v>High</c:v>
                </c:pt>
              </c:strCache>
            </c:strRef>
          </c:cat>
          <c:val>
            <c:numRef>
              <c:f>'Figure 9'!$B$16:$M$16</c:f>
              <c:numCache>
                <c:formatCode>0.0</c:formatCode>
                <c:ptCount val="11"/>
                <c:pt idx="0">
                  <c:v>882.69253448057702</c:v>
                </c:pt>
                <c:pt idx="1">
                  <c:v>976.32664557762882</c:v>
                </c:pt>
                <c:pt idx="2">
                  <c:v>756.55441984056688</c:v>
                </c:pt>
                <c:pt idx="3">
                  <c:v>536.46099708971281</c:v>
                </c:pt>
                <c:pt idx="4">
                  <c:v>926.07489813994687</c:v>
                </c:pt>
                <c:pt idx="5">
                  <c:v>990.04483740351759</c:v>
                </c:pt>
                <c:pt idx="6">
                  <c:v>929.46019865873711</c:v>
                </c:pt>
                <c:pt idx="7">
                  <c:v>923.05200936353287</c:v>
                </c:pt>
                <c:pt idx="8">
                  <c:v>567.3879691256484</c:v>
                </c:pt>
                <c:pt idx="9">
                  <c:v>761.88797418701756</c:v>
                </c:pt>
                <c:pt idx="10">
                  <c:v>1667.2421156522839</c:v>
                </c:pt>
              </c:numCache>
            </c:numRef>
          </c:val>
          <c:extLst>
            <c:ext xmlns:c16="http://schemas.microsoft.com/office/drawing/2014/chart" uri="{C3380CC4-5D6E-409C-BE32-E72D297353CC}">
              <c16:uniqueId val="{00000003-BDCB-441B-BF26-1FCE00404944}"/>
            </c:ext>
          </c:extLst>
        </c:ser>
        <c:dLbls>
          <c:showLegendKey val="0"/>
          <c:showVal val="0"/>
          <c:showCatName val="0"/>
          <c:showSerName val="0"/>
          <c:showPercent val="0"/>
          <c:showBubbleSize val="0"/>
        </c:dLbls>
        <c:gapWidth val="219"/>
        <c:overlap val="-27"/>
        <c:axId val="1283685679"/>
        <c:axId val="1283684719"/>
      </c:barChart>
      <c:catAx>
        <c:axId val="1283685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83684719"/>
        <c:crosses val="autoZero"/>
        <c:auto val="1"/>
        <c:lblAlgn val="ctr"/>
        <c:lblOffset val="100"/>
        <c:noMultiLvlLbl val="0"/>
      </c:catAx>
      <c:valAx>
        <c:axId val="12836847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baseline="0">
                    <a:solidFill>
                      <a:schemeClr val="tx1"/>
                    </a:solidFill>
                  </a:rPr>
                  <a:t> USD 2017 PPP</a:t>
                </a:r>
                <a:endParaRPr lang="en-US">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83685679"/>
        <c:crosses val="autoZero"/>
        <c:crossBetween val="between"/>
      </c:valAx>
      <c:spPr>
        <a:noFill/>
        <a:ln>
          <a:noFill/>
        </a:ln>
        <a:effectLst/>
      </c:spPr>
    </c:plotArea>
    <c:legend>
      <c:legendPos val="tr"/>
      <c:layout>
        <c:manualLayout>
          <c:xMode val="edge"/>
          <c:yMode val="edge"/>
          <c:x val="0.74869336553843835"/>
          <c:y val="6.4077864172465304E-2"/>
          <c:w val="0.22140404626026242"/>
          <c:h val="8.338242409481680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sz="1200" b="1">
                <a:solidFill>
                  <a:sysClr val="windowText" lastClr="000000"/>
                </a:solidFill>
              </a:rPr>
              <a:t>Annual growth (percent)</a:t>
            </a:r>
          </a:p>
        </c:rich>
      </c:tx>
      <c:layout>
        <c:manualLayout>
          <c:xMode val="edge"/>
          <c:yMode val="edge"/>
          <c:x val="8.1223929380762491E-2"/>
          <c:y val="1.850589881596247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6.0265122383620251E-2"/>
          <c:y val="8.8781321568393454E-2"/>
          <c:w val="0.91902473939533658"/>
          <c:h val="0.73171662779779134"/>
        </c:manualLayout>
      </c:layout>
      <c:barChart>
        <c:barDir val="col"/>
        <c:grouping val="clustered"/>
        <c:varyColors val="0"/>
        <c:ser>
          <c:idx val="0"/>
          <c:order val="0"/>
          <c:tx>
            <c:v>2016-Q1</c:v>
          </c:tx>
          <c:spPr>
            <a:solidFill>
              <a:schemeClr val="accent1"/>
            </a:solidFill>
            <a:ln>
              <a:noFill/>
            </a:ln>
            <a:effectLst/>
          </c:spPr>
          <c:invertIfNegative val="0"/>
          <c:cat>
            <c:strLit>
              <c:ptCount val="11"/>
              <c:pt idx="0">
                <c:v>Total Total</c:v>
              </c:pt>
              <c:pt idx="1">
                <c:v>Gender Male</c:v>
              </c:pt>
              <c:pt idx="2">
                <c:v>Gender Female</c:v>
              </c:pt>
              <c:pt idx="3">
                <c:v>Ages 15-24</c:v>
              </c:pt>
              <c:pt idx="4">
                <c:v>Ages 25-44</c:v>
              </c:pt>
              <c:pt idx="5">
                <c:v>Ages 45-54</c:v>
              </c:pt>
              <c:pt idx="6">
                <c:v>Ages 55-64</c:v>
              </c:pt>
              <c:pt idx="7">
                <c:v>Ages  65+</c:v>
              </c:pt>
              <c:pt idx="8">
                <c:v>Skill level Low</c:v>
              </c:pt>
              <c:pt idx="9">
                <c:v>Skill level Middle</c:v>
              </c:pt>
              <c:pt idx="10">
                <c:v>Skill level High</c:v>
              </c:pt>
            </c:strLit>
          </c:cat>
          <c:val>
            <c:numRef>
              <c:f>{}</c:f>
            </c:numRef>
          </c:val>
          <c:extLst>
            <c:ext xmlns:c16="http://schemas.microsoft.com/office/drawing/2014/chart" uri="{C3380CC4-5D6E-409C-BE32-E72D297353CC}">
              <c16:uniqueId val="{00000000-B0D0-4B28-8BCD-F312F01785FF}"/>
            </c:ext>
          </c:extLst>
        </c:ser>
        <c:ser>
          <c:idx val="2"/>
          <c:order val="1"/>
          <c:tx>
            <c:v>2016-Q3</c:v>
          </c:tx>
          <c:spPr>
            <a:solidFill>
              <a:schemeClr val="accent3"/>
            </a:solidFill>
            <a:ln>
              <a:noFill/>
            </a:ln>
            <a:effectLst/>
          </c:spPr>
          <c:invertIfNegative val="0"/>
          <c:cat>
            <c:strLit>
              <c:ptCount val="11"/>
              <c:pt idx="0">
                <c:v>Total Total</c:v>
              </c:pt>
              <c:pt idx="1">
                <c:v>Gender Male</c:v>
              </c:pt>
              <c:pt idx="2">
                <c:v>Gender Female</c:v>
              </c:pt>
              <c:pt idx="3">
                <c:v>Ages 15-24</c:v>
              </c:pt>
              <c:pt idx="4">
                <c:v>Ages 25-44</c:v>
              </c:pt>
              <c:pt idx="5">
                <c:v>Ages 45-54</c:v>
              </c:pt>
              <c:pt idx="6">
                <c:v>Ages 55-64</c:v>
              </c:pt>
              <c:pt idx="7">
                <c:v>Ages  65+</c:v>
              </c:pt>
              <c:pt idx="8">
                <c:v>Skill level Low</c:v>
              </c:pt>
              <c:pt idx="9">
                <c:v>Skill level Middle</c:v>
              </c:pt>
              <c:pt idx="10">
                <c:v>Skill level High</c:v>
              </c:pt>
            </c:strLit>
          </c:cat>
          <c:val>
            <c:numRef>
              <c:f>{}</c:f>
            </c:numRef>
          </c:val>
          <c:extLst>
            <c:ext xmlns:c16="http://schemas.microsoft.com/office/drawing/2014/chart" uri="{C3380CC4-5D6E-409C-BE32-E72D297353CC}">
              <c16:uniqueId val="{00000001-B0D0-4B28-8BCD-F312F01785FF}"/>
            </c:ext>
          </c:extLst>
        </c:ser>
        <c:ser>
          <c:idx val="3"/>
          <c:order val="2"/>
          <c:tx>
            <c:v>2016-Q4</c:v>
          </c:tx>
          <c:spPr>
            <a:solidFill>
              <a:schemeClr val="accent4"/>
            </a:solidFill>
            <a:ln>
              <a:noFill/>
            </a:ln>
            <a:effectLst/>
          </c:spPr>
          <c:invertIfNegative val="0"/>
          <c:cat>
            <c:strLit>
              <c:ptCount val="11"/>
              <c:pt idx="0">
                <c:v>Total Total</c:v>
              </c:pt>
              <c:pt idx="1">
                <c:v>Gender Male</c:v>
              </c:pt>
              <c:pt idx="2">
                <c:v>Gender Female</c:v>
              </c:pt>
              <c:pt idx="3">
                <c:v>Ages 15-24</c:v>
              </c:pt>
              <c:pt idx="4">
                <c:v>Ages 25-44</c:v>
              </c:pt>
              <c:pt idx="5">
                <c:v>Ages 45-54</c:v>
              </c:pt>
              <c:pt idx="6">
                <c:v>Ages 55-64</c:v>
              </c:pt>
              <c:pt idx="7">
                <c:v>Ages  65+</c:v>
              </c:pt>
              <c:pt idx="8">
                <c:v>Skill level Low</c:v>
              </c:pt>
              <c:pt idx="9">
                <c:v>Skill level Middle</c:v>
              </c:pt>
              <c:pt idx="10">
                <c:v>Skill level High</c:v>
              </c:pt>
            </c:strLit>
          </c:cat>
          <c:val>
            <c:numRef>
              <c:f>{}</c:f>
            </c:numRef>
          </c:val>
          <c:extLst>
            <c:ext xmlns:c16="http://schemas.microsoft.com/office/drawing/2014/chart" uri="{C3380CC4-5D6E-409C-BE32-E72D297353CC}">
              <c16:uniqueId val="{00000002-B0D0-4B28-8BCD-F312F01785FF}"/>
            </c:ext>
          </c:extLst>
        </c:ser>
        <c:ser>
          <c:idx val="4"/>
          <c:order val="3"/>
          <c:tx>
            <c:v>2019-Q1</c:v>
          </c:tx>
          <c:spPr>
            <a:solidFill>
              <a:schemeClr val="accent5"/>
            </a:solidFill>
            <a:ln>
              <a:noFill/>
            </a:ln>
            <a:effectLst/>
          </c:spPr>
          <c:invertIfNegative val="0"/>
          <c:cat>
            <c:strLit>
              <c:ptCount val="11"/>
              <c:pt idx="0">
                <c:v>Total Total</c:v>
              </c:pt>
              <c:pt idx="1">
                <c:v>Gender Male</c:v>
              </c:pt>
              <c:pt idx="2">
                <c:v>Gender Female</c:v>
              </c:pt>
              <c:pt idx="3">
                <c:v>Ages 15-24</c:v>
              </c:pt>
              <c:pt idx="4">
                <c:v>Ages 25-44</c:v>
              </c:pt>
              <c:pt idx="5">
                <c:v>Ages 45-54</c:v>
              </c:pt>
              <c:pt idx="6">
                <c:v>Ages 55-64</c:v>
              </c:pt>
              <c:pt idx="7">
                <c:v>Ages  65+</c:v>
              </c:pt>
              <c:pt idx="8">
                <c:v>Skill level Low</c:v>
              </c:pt>
              <c:pt idx="9">
                <c:v>Skill level Middle</c:v>
              </c:pt>
              <c:pt idx="10">
                <c:v>Skill level High</c:v>
              </c:pt>
            </c:strLit>
          </c:cat>
          <c:val>
            <c:numRef>
              <c:f>{}</c:f>
            </c:numRef>
          </c:val>
          <c:extLst>
            <c:ext xmlns:c16="http://schemas.microsoft.com/office/drawing/2014/chart" uri="{C3380CC4-5D6E-409C-BE32-E72D297353CC}">
              <c16:uniqueId val="{00000003-B0D0-4B28-8BCD-F312F01785FF}"/>
            </c:ext>
          </c:extLst>
        </c:ser>
        <c:ser>
          <c:idx val="6"/>
          <c:order val="4"/>
          <c:tx>
            <c:v>2019-Q3</c:v>
          </c:tx>
          <c:spPr>
            <a:solidFill>
              <a:schemeClr val="accent1">
                <a:lumMod val="60000"/>
              </a:schemeClr>
            </a:solidFill>
            <a:ln>
              <a:noFill/>
            </a:ln>
            <a:effectLst/>
          </c:spPr>
          <c:invertIfNegative val="0"/>
          <c:cat>
            <c:strLit>
              <c:ptCount val="11"/>
              <c:pt idx="0">
                <c:v>Total Total</c:v>
              </c:pt>
              <c:pt idx="1">
                <c:v>Gender Male</c:v>
              </c:pt>
              <c:pt idx="2">
                <c:v>Gender Female</c:v>
              </c:pt>
              <c:pt idx="3">
                <c:v>Ages 15-24</c:v>
              </c:pt>
              <c:pt idx="4">
                <c:v>Ages 25-44</c:v>
              </c:pt>
              <c:pt idx="5">
                <c:v>Ages 45-54</c:v>
              </c:pt>
              <c:pt idx="6">
                <c:v>Ages 55-64</c:v>
              </c:pt>
              <c:pt idx="7">
                <c:v>Ages  65+</c:v>
              </c:pt>
              <c:pt idx="8">
                <c:v>Skill level Low</c:v>
              </c:pt>
              <c:pt idx="9">
                <c:v>Skill level Middle</c:v>
              </c:pt>
              <c:pt idx="10">
                <c:v>Skill level High</c:v>
              </c:pt>
            </c:strLit>
          </c:cat>
          <c:val>
            <c:numRef>
              <c:f>{}</c:f>
            </c:numRef>
          </c:val>
          <c:extLst>
            <c:ext xmlns:c16="http://schemas.microsoft.com/office/drawing/2014/chart" uri="{C3380CC4-5D6E-409C-BE32-E72D297353CC}">
              <c16:uniqueId val="{00000004-B0D0-4B28-8BCD-F312F01785FF}"/>
            </c:ext>
          </c:extLst>
        </c:ser>
        <c:ser>
          <c:idx val="7"/>
          <c:order val="5"/>
          <c:tx>
            <c:v>2019-Q4</c:v>
          </c:tx>
          <c:spPr>
            <a:solidFill>
              <a:schemeClr val="accent2">
                <a:lumMod val="60000"/>
              </a:schemeClr>
            </a:solidFill>
            <a:ln>
              <a:noFill/>
            </a:ln>
            <a:effectLst/>
          </c:spPr>
          <c:invertIfNegative val="0"/>
          <c:cat>
            <c:strLit>
              <c:ptCount val="11"/>
              <c:pt idx="0">
                <c:v>Total Total</c:v>
              </c:pt>
              <c:pt idx="1">
                <c:v>Gender Male</c:v>
              </c:pt>
              <c:pt idx="2">
                <c:v>Gender Female</c:v>
              </c:pt>
              <c:pt idx="3">
                <c:v>Ages 15-24</c:v>
              </c:pt>
              <c:pt idx="4">
                <c:v>Ages 25-44</c:v>
              </c:pt>
              <c:pt idx="5">
                <c:v>Ages 45-54</c:v>
              </c:pt>
              <c:pt idx="6">
                <c:v>Ages 55-64</c:v>
              </c:pt>
              <c:pt idx="7">
                <c:v>Ages  65+</c:v>
              </c:pt>
              <c:pt idx="8">
                <c:v>Skill level Low</c:v>
              </c:pt>
              <c:pt idx="9">
                <c:v>Skill level Middle</c:v>
              </c:pt>
              <c:pt idx="10">
                <c:v>Skill level High</c:v>
              </c:pt>
            </c:strLit>
          </c:cat>
          <c:val>
            <c:numRef>
              <c:f>{}</c:f>
            </c:numRef>
          </c:val>
          <c:extLst>
            <c:ext xmlns:c16="http://schemas.microsoft.com/office/drawing/2014/chart" uri="{C3380CC4-5D6E-409C-BE32-E72D297353CC}">
              <c16:uniqueId val="{00000005-B0D0-4B28-8BCD-F312F01785FF}"/>
            </c:ext>
          </c:extLst>
        </c:ser>
        <c:ser>
          <c:idx val="8"/>
          <c:order val="6"/>
          <c:tx>
            <c:v>2023-Q1</c:v>
          </c:tx>
          <c:spPr>
            <a:solidFill>
              <a:schemeClr val="accent3">
                <a:lumMod val="60000"/>
              </a:schemeClr>
            </a:solidFill>
            <a:ln>
              <a:noFill/>
            </a:ln>
            <a:effectLst/>
          </c:spPr>
          <c:invertIfNegative val="0"/>
          <c:cat>
            <c:strLit>
              <c:ptCount val="11"/>
              <c:pt idx="0">
                <c:v>Total Total</c:v>
              </c:pt>
              <c:pt idx="1">
                <c:v>Gender Male</c:v>
              </c:pt>
              <c:pt idx="2">
                <c:v>Gender Female</c:v>
              </c:pt>
              <c:pt idx="3">
                <c:v>Ages 15-24</c:v>
              </c:pt>
              <c:pt idx="4">
                <c:v>Ages 25-44</c:v>
              </c:pt>
              <c:pt idx="5">
                <c:v>Ages 45-54</c:v>
              </c:pt>
              <c:pt idx="6">
                <c:v>Ages 55-64</c:v>
              </c:pt>
              <c:pt idx="7">
                <c:v>Ages  65+</c:v>
              </c:pt>
              <c:pt idx="8">
                <c:v>Skill level Low</c:v>
              </c:pt>
              <c:pt idx="9">
                <c:v>Skill level Middle</c:v>
              </c:pt>
              <c:pt idx="10">
                <c:v>Skill level High</c:v>
              </c:pt>
            </c:strLit>
          </c:cat>
          <c:val>
            <c:numRef>
              <c:f>{}</c:f>
            </c:numRef>
          </c:val>
          <c:extLst>
            <c:ext xmlns:c16="http://schemas.microsoft.com/office/drawing/2014/chart" uri="{C3380CC4-5D6E-409C-BE32-E72D297353CC}">
              <c16:uniqueId val="{00000006-B0D0-4B28-8BCD-F312F01785FF}"/>
            </c:ext>
          </c:extLst>
        </c:ser>
        <c:ser>
          <c:idx val="10"/>
          <c:order val="7"/>
          <c:tx>
            <c:v>2023-Q3</c:v>
          </c:tx>
          <c:spPr>
            <a:solidFill>
              <a:schemeClr val="accent5">
                <a:lumMod val="60000"/>
              </a:schemeClr>
            </a:solidFill>
            <a:ln>
              <a:noFill/>
            </a:ln>
            <a:effectLst/>
          </c:spPr>
          <c:invertIfNegative val="0"/>
          <c:cat>
            <c:strLit>
              <c:ptCount val="11"/>
              <c:pt idx="0">
                <c:v>Total Total</c:v>
              </c:pt>
              <c:pt idx="1">
                <c:v>Gender Male</c:v>
              </c:pt>
              <c:pt idx="2">
                <c:v>Gender Female</c:v>
              </c:pt>
              <c:pt idx="3">
                <c:v>Ages 15-24</c:v>
              </c:pt>
              <c:pt idx="4">
                <c:v>Ages 25-44</c:v>
              </c:pt>
              <c:pt idx="5">
                <c:v>Ages 45-54</c:v>
              </c:pt>
              <c:pt idx="6">
                <c:v>Ages 55-64</c:v>
              </c:pt>
              <c:pt idx="7">
                <c:v>Ages  65+</c:v>
              </c:pt>
              <c:pt idx="8">
                <c:v>Skill level Low</c:v>
              </c:pt>
              <c:pt idx="9">
                <c:v>Skill level Middle</c:v>
              </c:pt>
              <c:pt idx="10">
                <c:v>Skill level High</c:v>
              </c:pt>
            </c:strLit>
          </c:cat>
          <c:val>
            <c:numRef>
              <c:f>{}</c:f>
            </c:numRef>
          </c:val>
          <c:extLst>
            <c:ext xmlns:c16="http://schemas.microsoft.com/office/drawing/2014/chart" uri="{C3380CC4-5D6E-409C-BE32-E72D297353CC}">
              <c16:uniqueId val="{00000007-B0D0-4B28-8BCD-F312F01785FF}"/>
            </c:ext>
          </c:extLst>
        </c:ser>
        <c:ser>
          <c:idx val="11"/>
          <c:order val="8"/>
          <c:tx>
            <c:v>2023-Q4</c:v>
          </c:tx>
          <c:spPr>
            <a:solidFill>
              <a:schemeClr val="accent6">
                <a:lumMod val="60000"/>
              </a:schemeClr>
            </a:solidFill>
            <a:ln>
              <a:noFill/>
            </a:ln>
            <a:effectLst/>
          </c:spPr>
          <c:invertIfNegative val="0"/>
          <c:cat>
            <c:strLit>
              <c:ptCount val="11"/>
              <c:pt idx="0">
                <c:v>Total Total</c:v>
              </c:pt>
              <c:pt idx="1">
                <c:v>Gender Male</c:v>
              </c:pt>
              <c:pt idx="2">
                <c:v>Gender Female</c:v>
              </c:pt>
              <c:pt idx="3">
                <c:v>Ages 15-24</c:v>
              </c:pt>
              <c:pt idx="4">
                <c:v>Ages 25-44</c:v>
              </c:pt>
              <c:pt idx="5">
                <c:v>Ages 45-54</c:v>
              </c:pt>
              <c:pt idx="6">
                <c:v>Ages 55-64</c:v>
              </c:pt>
              <c:pt idx="7">
                <c:v>Ages  65+</c:v>
              </c:pt>
              <c:pt idx="8">
                <c:v>Skill level Low</c:v>
              </c:pt>
              <c:pt idx="9">
                <c:v>Skill level Middle</c:v>
              </c:pt>
              <c:pt idx="10">
                <c:v>Skill level High</c:v>
              </c:pt>
            </c:strLit>
          </c:cat>
          <c:val>
            <c:numRef>
              <c:f>{}</c:f>
            </c:numRef>
          </c:val>
          <c:extLst>
            <c:ext xmlns:c16="http://schemas.microsoft.com/office/drawing/2014/chart" uri="{C3380CC4-5D6E-409C-BE32-E72D297353CC}">
              <c16:uniqueId val="{00000008-B0D0-4B28-8BCD-F312F01785FF}"/>
            </c:ext>
          </c:extLst>
        </c:ser>
        <c:ser>
          <c:idx val="12"/>
          <c:order val="9"/>
          <c:tx>
            <c:v>2024-Q1</c:v>
          </c:tx>
          <c:spPr>
            <a:solidFill>
              <a:schemeClr val="accent1">
                <a:lumMod val="80000"/>
                <a:lumOff val="20000"/>
              </a:schemeClr>
            </a:solidFill>
            <a:ln>
              <a:noFill/>
            </a:ln>
            <a:effectLst/>
          </c:spPr>
          <c:invertIfNegative val="0"/>
          <c:cat>
            <c:strLit>
              <c:ptCount val="11"/>
              <c:pt idx="0">
                <c:v>Total Total</c:v>
              </c:pt>
              <c:pt idx="1">
                <c:v>Gender Male</c:v>
              </c:pt>
              <c:pt idx="2">
                <c:v>Gender Female</c:v>
              </c:pt>
              <c:pt idx="3">
                <c:v>Ages 15-24</c:v>
              </c:pt>
              <c:pt idx="4">
                <c:v>Ages 25-44</c:v>
              </c:pt>
              <c:pt idx="5">
                <c:v>Ages 45-54</c:v>
              </c:pt>
              <c:pt idx="6">
                <c:v>Ages 55-64</c:v>
              </c:pt>
              <c:pt idx="7">
                <c:v>Ages  65+</c:v>
              </c:pt>
              <c:pt idx="8">
                <c:v>Skill level Low</c:v>
              </c:pt>
              <c:pt idx="9">
                <c:v>Skill level Middle</c:v>
              </c:pt>
              <c:pt idx="10">
                <c:v>Skill level High</c:v>
              </c:pt>
            </c:strLit>
          </c:cat>
          <c:val>
            <c:numRef>
              <c:f>{}</c:f>
            </c:numRef>
          </c:val>
          <c:extLst>
            <c:ext xmlns:c16="http://schemas.microsoft.com/office/drawing/2014/chart" uri="{C3380CC4-5D6E-409C-BE32-E72D297353CC}">
              <c16:uniqueId val="{00000009-B0D0-4B28-8BCD-F312F01785FF}"/>
            </c:ext>
          </c:extLst>
        </c:ser>
        <c:ser>
          <c:idx val="14"/>
          <c:order val="10"/>
          <c:tx>
            <c:v>2024-Q3</c:v>
          </c:tx>
          <c:spPr>
            <a:solidFill>
              <a:schemeClr val="accent3">
                <a:lumMod val="80000"/>
                <a:lumOff val="20000"/>
              </a:schemeClr>
            </a:solidFill>
            <a:ln>
              <a:noFill/>
            </a:ln>
            <a:effectLst/>
          </c:spPr>
          <c:invertIfNegative val="0"/>
          <c:cat>
            <c:strLit>
              <c:ptCount val="11"/>
              <c:pt idx="0">
                <c:v>Total Total</c:v>
              </c:pt>
              <c:pt idx="1">
                <c:v>Gender Male</c:v>
              </c:pt>
              <c:pt idx="2">
                <c:v>Gender Female</c:v>
              </c:pt>
              <c:pt idx="3">
                <c:v>Ages 15-24</c:v>
              </c:pt>
              <c:pt idx="4">
                <c:v>Ages 25-44</c:v>
              </c:pt>
              <c:pt idx="5">
                <c:v>Ages 45-54</c:v>
              </c:pt>
              <c:pt idx="6">
                <c:v>Ages 55-64</c:v>
              </c:pt>
              <c:pt idx="7">
                <c:v>Ages  65+</c:v>
              </c:pt>
              <c:pt idx="8">
                <c:v>Skill level Low</c:v>
              </c:pt>
              <c:pt idx="9">
                <c:v>Skill level Middle</c:v>
              </c:pt>
              <c:pt idx="10">
                <c:v>Skill level High</c:v>
              </c:pt>
            </c:strLit>
          </c:cat>
          <c:val>
            <c:numRef>
              <c:f>{}</c:f>
            </c:numRef>
          </c:val>
          <c:extLst>
            <c:ext xmlns:c16="http://schemas.microsoft.com/office/drawing/2014/chart" uri="{C3380CC4-5D6E-409C-BE32-E72D297353CC}">
              <c16:uniqueId val="{0000000A-B0D0-4B28-8BCD-F312F01785FF}"/>
            </c:ext>
          </c:extLst>
        </c:ser>
        <c:ser>
          <c:idx val="15"/>
          <c:order val="11"/>
          <c:tx>
            <c:v>2024-Q4</c:v>
          </c:tx>
          <c:spPr>
            <a:solidFill>
              <a:schemeClr val="accent4">
                <a:lumMod val="80000"/>
                <a:lumOff val="20000"/>
              </a:schemeClr>
            </a:solidFill>
            <a:ln>
              <a:noFill/>
            </a:ln>
            <a:effectLst/>
          </c:spPr>
          <c:invertIfNegative val="0"/>
          <c:cat>
            <c:strLit>
              <c:ptCount val="11"/>
              <c:pt idx="0">
                <c:v>Total Total</c:v>
              </c:pt>
              <c:pt idx="1">
                <c:v>Gender Male</c:v>
              </c:pt>
              <c:pt idx="2">
                <c:v>Gender Female</c:v>
              </c:pt>
              <c:pt idx="3">
                <c:v>Ages 15-24</c:v>
              </c:pt>
              <c:pt idx="4">
                <c:v>Ages 25-44</c:v>
              </c:pt>
              <c:pt idx="5">
                <c:v>Ages 45-54</c:v>
              </c:pt>
              <c:pt idx="6">
                <c:v>Ages 55-64</c:v>
              </c:pt>
              <c:pt idx="7">
                <c:v>Ages  65+</c:v>
              </c:pt>
              <c:pt idx="8">
                <c:v>Skill level Low</c:v>
              </c:pt>
              <c:pt idx="9">
                <c:v>Skill level Middle</c:v>
              </c:pt>
              <c:pt idx="10">
                <c:v>Skill level High</c:v>
              </c:pt>
            </c:strLit>
          </c:cat>
          <c:val>
            <c:numRef>
              <c:f>{}</c:f>
            </c:numRef>
          </c:val>
          <c:extLst>
            <c:ext xmlns:c16="http://schemas.microsoft.com/office/drawing/2014/chart" uri="{C3380CC4-5D6E-409C-BE32-E72D297353CC}">
              <c16:uniqueId val="{0000000B-B0D0-4B28-8BCD-F312F01785FF}"/>
            </c:ext>
          </c:extLst>
        </c:ser>
        <c:ser>
          <c:idx val="16"/>
          <c:order val="12"/>
          <c:tx>
            <c:strRef>
              <c:f>'Figure 9'!$A$19</c:f>
              <c:strCache>
                <c:ptCount val="1"/>
                <c:pt idx="0">
                  <c:v>2016-2019</c:v>
                </c:pt>
              </c:strCache>
            </c:strRef>
          </c:tx>
          <c:spPr>
            <a:solidFill>
              <a:srgbClr val="002060">
                <a:alpha val="50000"/>
              </a:srgbClr>
            </a:solidFill>
            <a:ln>
              <a:noFill/>
            </a:ln>
            <a:effectLst/>
          </c:spPr>
          <c:invertIfNegative val="0"/>
          <c:cat>
            <c:multiLvlStrRef>
              <c:f>'Figure 9'!$B$1:$M$2</c:f>
              <c:multiLvlStrCache>
                <c:ptCount val="11"/>
                <c:lvl>
                  <c:pt idx="0">
                    <c:v>Total</c:v>
                  </c:pt>
                  <c:pt idx="1">
                    <c:v>Male</c:v>
                  </c:pt>
                  <c:pt idx="2">
                    <c:v>Female</c:v>
                  </c:pt>
                  <c:pt idx="3">
                    <c:v>15-24</c:v>
                  </c:pt>
                  <c:pt idx="4">
                    <c:v>25-44</c:v>
                  </c:pt>
                  <c:pt idx="5">
                    <c:v>45-54</c:v>
                  </c:pt>
                  <c:pt idx="6">
                    <c:v>55-64</c:v>
                  </c:pt>
                  <c:pt idx="7">
                    <c:v> 65+</c:v>
                  </c:pt>
                  <c:pt idx="8">
                    <c:v>Low</c:v>
                  </c:pt>
                  <c:pt idx="9">
                    <c:v>Middle</c:v>
                  </c:pt>
                  <c:pt idx="10">
                    <c:v>High</c:v>
                  </c:pt>
                </c:lvl>
                <c:lvl>
                  <c:pt idx="1">
                    <c:v>Gender</c:v>
                  </c:pt>
                  <c:pt idx="3">
                    <c:v>Age</c:v>
                  </c:pt>
                  <c:pt idx="8">
                    <c:v>Skill level</c:v>
                  </c:pt>
                </c:lvl>
              </c:multiLvlStrCache>
            </c:multiLvlStrRef>
          </c:cat>
          <c:val>
            <c:numRef>
              <c:f>'Figure 9'!$B$19:$M$19</c:f>
              <c:numCache>
                <c:formatCode>0.0</c:formatCode>
                <c:ptCount val="11"/>
                <c:pt idx="0">
                  <c:v>0.28938232030024658</c:v>
                </c:pt>
                <c:pt idx="1">
                  <c:v>0.37189937447719146</c:v>
                </c:pt>
                <c:pt idx="2">
                  <c:v>0.38666191797160909</c:v>
                </c:pt>
                <c:pt idx="3">
                  <c:v>-0.9620450928070734</c:v>
                </c:pt>
                <c:pt idx="4">
                  <c:v>0.37466797046130651</c:v>
                </c:pt>
                <c:pt idx="5">
                  <c:v>0.12200986467154618</c:v>
                </c:pt>
                <c:pt idx="6">
                  <c:v>-0.34150896895067673</c:v>
                </c:pt>
                <c:pt idx="7">
                  <c:v>1.5602309068510012</c:v>
                </c:pt>
                <c:pt idx="8">
                  <c:v>1.3448134103714926</c:v>
                </c:pt>
                <c:pt idx="9">
                  <c:v>0.28566561095355603</c:v>
                </c:pt>
                <c:pt idx="10">
                  <c:v>-1.3700612894497088</c:v>
                </c:pt>
              </c:numCache>
            </c:numRef>
          </c:val>
          <c:extLst>
            <c:ext xmlns:c16="http://schemas.microsoft.com/office/drawing/2014/chart" uri="{C3380CC4-5D6E-409C-BE32-E72D297353CC}">
              <c16:uniqueId val="{0000000C-B0D0-4B28-8BCD-F312F01785FF}"/>
            </c:ext>
          </c:extLst>
        </c:ser>
        <c:ser>
          <c:idx val="17"/>
          <c:order val="13"/>
          <c:tx>
            <c:strRef>
              <c:f>'Figure 9'!$A$20</c:f>
              <c:strCache>
                <c:ptCount val="1"/>
                <c:pt idx="0">
                  <c:v>2023-2024</c:v>
                </c:pt>
              </c:strCache>
            </c:strRef>
          </c:tx>
          <c:spPr>
            <a:solidFill>
              <a:srgbClr val="002060">
                <a:alpha val="8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'Figure 9'!$B$1:$M$2</c:f>
              <c:multiLvlStrCache>
                <c:ptCount val="11"/>
                <c:lvl>
                  <c:pt idx="0">
                    <c:v>Total</c:v>
                  </c:pt>
                  <c:pt idx="1">
                    <c:v>Male</c:v>
                  </c:pt>
                  <c:pt idx="2">
                    <c:v>Female</c:v>
                  </c:pt>
                  <c:pt idx="3">
                    <c:v>15-24</c:v>
                  </c:pt>
                  <c:pt idx="4">
                    <c:v>25-44</c:v>
                  </c:pt>
                  <c:pt idx="5">
                    <c:v>45-54</c:v>
                  </c:pt>
                  <c:pt idx="6">
                    <c:v>55-64</c:v>
                  </c:pt>
                  <c:pt idx="7">
                    <c:v> 65+</c:v>
                  </c:pt>
                  <c:pt idx="8">
                    <c:v>Low</c:v>
                  </c:pt>
                  <c:pt idx="9">
                    <c:v>Middle</c:v>
                  </c:pt>
                  <c:pt idx="10">
                    <c:v>High</c:v>
                  </c:pt>
                </c:lvl>
                <c:lvl>
                  <c:pt idx="1">
                    <c:v>Gender</c:v>
                  </c:pt>
                  <c:pt idx="3">
                    <c:v>Age</c:v>
                  </c:pt>
                  <c:pt idx="8">
                    <c:v>Skill level</c:v>
                  </c:pt>
                </c:lvl>
              </c:multiLvlStrCache>
            </c:multiLvlStrRef>
          </c:cat>
          <c:val>
            <c:numRef>
              <c:f>'Figure 9'!$B$20:$M$20</c:f>
              <c:numCache>
                <c:formatCode>0.0</c:formatCode>
                <c:ptCount val="11"/>
                <c:pt idx="0">
                  <c:v>3.9238587970495731</c:v>
                </c:pt>
                <c:pt idx="1">
                  <c:v>4.2020746859177338</c:v>
                </c:pt>
                <c:pt idx="2">
                  <c:v>3.5801713240664057</c:v>
                </c:pt>
                <c:pt idx="3">
                  <c:v>2.3402416163535555</c:v>
                </c:pt>
                <c:pt idx="4">
                  <c:v>4.0701576112931681</c:v>
                </c:pt>
                <c:pt idx="5">
                  <c:v>4.1551373484864262</c:v>
                </c:pt>
                <c:pt idx="6">
                  <c:v>1.8535682579277069</c:v>
                </c:pt>
                <c:pt idx="7">
                  <c:v>9.5752170215802401</c:v>
                </c:pt>
                <c:pt idx="8">
                  <c:v>0.7830170199864428</c:v>
                </c:pt>
                <c:pt idx="9">
                  <c:v>3.0023837069277137</c:v>
                </c:pt>
                <c:pt idx="10">
                  <c:v>4.5093497648889036</c:v>
                </c:pt>
              </c:numCache>
            </c:numRef>
          </c:val>
          <c:extLst>
            <c:ext xmlns:c16="http://schemas.microsoft.com/office/drawing/2014/chart" uri="{C3380CC4-5D6E-409C-BE32-E72D297353CC}">
              <c16:uniqueId val="{0000000D-B0D0-4B28-8BCD-F312F01785FF}"/>
            </c:ext>
          </c:extLst>
        </c:ser>
        <c:dLbls>
          <c:showLegendKey val="0"/>
          <c:showVal val="0"/>
          <c:showCatName val="0"/>
          <c:showSerName val="0"/>
          <c:showPercent val="0"/>
          <c:showBubbleSize val="0"/>
        </c:dLbls>
        <c:gapWidth val="219"/>
        <c:overlap val="-27"/>
        <c:axId val="1183181823"/>
        <c:axId val="1183197183"/>
      </c:barChart>
      <c:catAx>
        <c:axId val="1183181823"/>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83197183"/>
        <c:crosses val="autoZero"/>
        <c:auto val="1"/>
        <c:lblAlgn val="ctr"/>
        <c:lblOffset val="100"/>
        <c:noMultiLvlLbl val="0"/>
      </c:catAx>
      <c:valAx>
        <c:axId val="11831971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Percent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181823"/>
        <c:crosses val="autoZero"/>
        <c:crossBetween val="between"/>
      </c:valAx>
      <c:spPr>
        <a:noFill/>
        <a:ln>
          <a:noFill/>
        </a:ln>
        <a:effectLst/>
      </c:spPr>
    </c:plotArea>
    <c:legend>
      <c:legendPos val="tr"/>
      <c:layout>
        <c:manualLayout>
          <c:xMode val="edge"/>
          <c:yMode val="edge"/>
          <c:x val="0.72000317915762702"/>
          <c:y val="9.2365675403534894E-2"/>
          <c:w val="0.26902527142346205"/>
          <c:h val="7.087153234718042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tockChart>
        <c:ser>
          <c:idx val="0"/>
          <c:order val="0"/>
          <c:tx>
            <c:strRef>
              <c:f>'Figure 10'!$B$4</c:f>
              <c:strCache>
                <c:ptCount val="1"/>
                <c:pt idx="0">
                  <c:v>20th percentile</c:v>
                </c:pt>
              </c:strCache>
            </c:strRef>
          </c:tx>
          <c:spPr>
            <a:ln w="38100" cap="rnd">
              <a:noFill/>
              <a:round/>
            </a:ln>
            <a:effectLst/>
          </c:spPr>
          <c:marker>
            <c:symbol val="star"/>
            <c:size val="10"/>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10'!$A$5:$A$17</c:f>
              <c:strCache>
                <c:ptCount val="13"/>
                <c:pt idx="0">
                  <c:v>Ecuador</c:v>
                </c:pt>
                <c:pt idx="1">
                  <c:v>El Salvador</c:v>
                </c:pt>
                <c:pt idx="2">
                  <c:v>Colombia</c:v>
                </c:pt>
                <c:pt idx="3">
                  <c:v>Argentina</c:v>
                </c:pt>
                <c:pt idx="4">
                  <c:v>Bolivia</c:v>
                </c:pt>
                <c:pt idx="5">
                  <c:v>Mexico</c:v>
                </c:pt>
                <c:pt idx="6">
                  <c:v>Paraguay</c:v>
                </c:pt>
                <c:pt idx="7">
                  <c:v>Peru</c:v>
                </c:pt>
                <c:pt idx="8">
                  <c:v>Dominican Republic</c:v>
                </c:pt>
                <c:pt idx="9">
                  <c:v>Brazil</c:v>
                </c:pt>
                <c:pt idx="10">
                  <c:v>Uruguay</c:v>
                </c:pt>
                <c:pt idx="11">
                  <c:v>Costa Rica</c:v>
                </c:pt>
                <c:pt idx="12">
                  <c:v>Chile</c:v>
                </c:pt>
              </c:strCache>
            </c:strRef>
          </c:cat>
          <c:val>
            <c:numRef>
              <c:f>'Figure 10'!$B$5:$B$17</c:f>
              <c:numCache>
                <c:formatCode>0</c:formatCode>
                <c:ptCount val="13"/>
                <c:pt idx="0">
                  <c:v>33.599716965190943</c:v>
                </c:pt>
                <c:pt idx="1">
                  <c:v>34.153007772896245</c:v>
                </c:pt>
                <c:pt idx="2">
                  <c:v>34.636279148360934</c:v>
                </c:pt>
                <c:pt idx="3">
                  <c:v>41.739819195674215</c:v>
                </c:pt>
                <c:pt idx="4">
                  <c:v>45.654042750929371</c:v>
                </c:pt>
                <c:pt idx="5">
                  <c:v>46.27186127069956</c:v>
                </c:pt>
                <c:pt idx="6">
                  <c:v>47.37157823589051</c:v>
                </c:pt>
                <c:pt idx="7">
                  <c:v>49.1563872930044</c:v>
                </c:pt>
                <c:pt idx="8">
                  <c:v>52.397875126732011</c:v>
                </c:pt>
                <c:pt idx="9">
                  <c:v>57.879984792159512</c:v>
                </c:pt>
                <c:pt idx="10">
                  <c:v>60.408921933085502</c:v>
                </c:pt>
                <c:pt idx="11">
                  <c:v>76.166040047313274</c:v>
                </c:pt>
                <c:pt idx="12">
                  <c:v>76.90330348090572</c:v>
                </c:pt>
              </c:numCache>
            </c:numRef>
          </c:val>
          <c:smooth val="0"/>
          <c:extLst>
            <c:ext xmlns:c16="http://schemas.microsoft.com/office/drawing/2014/chart" uri="{C3380CC4-5D6E-409C-BE32-E72D297353CC}">
              <c16:uniqueId val="{00000000-94F7-47AF-85C8-4C610C9ABFB9}"/>
            </c:ext>
          </c:extLst>
        </c:ser>
        <c:ser>
          <c:idx val="1"/>
          <c:order val="1"/>
          <c:tx>
            <c:strRef>
              <c:f>'Figure 10'!$C$4</c:f>
              <c:strCache>
                <c:ptCount val="1"/>
                <c:pt idx="0">
                  <c:v>Median</c:v>
                </c:pt>
              </c:strCache>
            </c:strRef>
          </c:tx>
          <c:spPr>
            <a:ln w="38100" cap="rnd">
              <a:noFill/>
              <a:round/>
            </a:ln>
            <a:effectLst/>
          </c:spPr>
          <c:marker>
            <c:symbol val="dash"/>
            <c:size val="15"/>
            <c:spPr>
              <a:solidFill>
                <a:srgbClr val="002060"/>
              </a:solidFill>
              <a:ln w="9525">
                <a:solidFill>
                  <a:srgbClr val="7030A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10'!$A$5:$A$17</c:f>
              <c:strCache>
                <c:ptCount val="13"/>
                <c:pt idx="0">
                  <c:v>Ecuador</c:v>
                </c:pt>
                <c:pt idx="1">
                  <c:v>El Salvador</c:v>
                </c:pt>
                <c:pt idx="2">
                  <c:v>Colombia</c:v>
                </c:pt>
                <c:pt idx="3">
                  <c:v>Argentina</c:v>
                </c:pt>
                <c:pt idx="4">
                  <c:v>Bolivia</c:v>
                </c:pt>
                <c:pt idx="5">
                  <c:v>Mexico</c:v>
                </c:pt>
                <c:pt idx="6">
                  <c:v>Paraguay</c:v>
                </c:pt>
                <c:pt idx="7">
                  <c:v>Peru</c:v>
                </c:pt>
                <c:pt idx="8">
                  <c:v>Dominican Republic</c:v>
                </c:pt>
                <c:pt idx="9">
                  <c:v>Brazil</c:v>
                </c:pt>
                <c:pt idx="10">
                  <c:v>Uruguay</c:v>
                </c:pt>
                <c:pt idx="11">
                  <c:v>Costa Rica</c:v>
                </c:pt>
                <c:pt idx="12">
                  <c:v>Chile</c:v>
                </c:pt>
              </c:strCache>
            </c:strRef>
          </c:cat>
          <c:val>
            <c:numRef>
              <c:f>'Figure 10'!$C$5:$C$17</c:f>
              <c:numCache>
                <c:formatCode>0</c:formatCode>
                <c:ptCount val="13"/>
                <c:pt idx="0">
                  <c:v>88.773656640757011</c:v>
                </c:pt>
                <c:pt idx="1">
                  <c:v>85.409978033119302</c:v>
                </c:pt>
                <c:pt idx="2">
                  <c:v>87.634124704291978</c:v>
                </c:pt>
                <c:pt idx="3">
                  <c:v>104.35641263940521</c:v>
                </c:pt>
                <c:pt idx="4">
                  <c:v>107.41804663737749</c:v>
                </c:pt>
                <c:pt idx="5">
                  <c:v>84.091965190942886</c:v>
                </c:pt>
                <c:pt idx="6">
                  <c:v>104.96050185873607</c:v>
                </c:pt>
                <c:pt idx="7">
                  <c:v>86.110172355525521</c:v>
                </c:pt>
                <c:pt idx="8">
                  <c:v>93.002281176072998</c:v>
                </c:pt>
                <c:pt idx="9">
                  <c:v>81.977652923284907</c:v>
                </c:pt>
                <c:pt idx="10">
                  <c:v>122.36925481581615</c:v>
                </c:pt>
                <c:pt idx="11">
                  <c:v>130.64802298073676</c:v>
                </c:pt>
                <c:pt idx="12">
                  <c:v>123.24793004393378</c:v>
                </c:pt>
              </c:numCache>
            </c:numRef>
          </c:val>
          <c:smooth val="0"/>
          <c:extLst>
            <c:ext xmlns:c16="http://schemas.microsoft.com/office/drawing/2014/chart" uri="{C3380CC4-5D6E-409C-BE32-E72D297353CC}">
              <c16:uniqueId val="{00000001-94F7-47AF-85C8-4C610C9ABFB9}"/>
            </c:ext>
          </c:extLst>
        </c:ser>
        <c:ser>
          <c:idx val="2"/>
          <c:order val="2"/>
          <c:tx>
            <c:strRef>
              <c:f>'Figure 10'!$D$4</c:f>
              <c:strCache>
                <c:ptCount val="1"/>
                <c:pt idx="0">
                  <c:v>80th percentile</c:v>
                </c:pt>
              </c:strCache>
            </c:strRef>
          </c:tx>
          <c:spPr>
            <a:ln w="38100" cap="rnd">
              <a:noFill/>
              <a:round/>
            </a:ln>
            <a:effectLst/>
          </c:spPr>
          <c:marker>
            <c:symbol val="circle"/>
            <c:size val="8"/>
            <c:spPr>
              <a:solidFill>
                <a:schemeClr val="bg2">
                  <a:lumMod val="75000"/>
                </a:scheme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10'!$A$5:$A$17</c:f>
              <c:strCache>
                <c:ptCount val="13"/>
                <c:pt idx="0">
                  <c:v>Ecuador</c:v>
                </c:pt>
                <c:pt idx="1">
                  <c:v>El Salvador</c:v>
                </c:pt>
                <c:pt idx="2">
                  <c:v>Colombia</c:v>
                </c:pt>
                <c:pt idx="3">
                  <c:v>Argentina</c:v>
                </c:pt>
                <c:pt idx="4">
                  <c:v>Bolivia</c:v>
                </c:pt>
                <c:pt idx="5">
                  <c:v>Mexico</c:v>
                </c:pt>
                <c:pt idx="6">
                  <c:v>Paraguay</c:v>
                </c:pt>
                <c:pt idx="7">
                  <c:v>Peru</c:v>
                </c:pt>
                <c:pt idx="8">
                  <c:v>Dominican Republic</c:v>
                </c:pt>
                <c:pt idx="9">
                  <c:v>Brazil</c:v>
                </c:pt>
                <c:pt idx="10">
                  <c:v>Uruguay</c:v>
                </c:pt>
                <c:pt idx="11">
                  <c:v>Costa Rica</c:v>
                </c:pt>
                <c:pt idx="12">
                  <c:v>Chile</c:v>
                </c:pt>
              </c:strCache>
            </c:strRef>
          </c:cat>
          <c:val>
            <c:numRef>
              <c:f>'Figure 10'!$D$5:$D$17</c:f>
              <c:numCache>
                <c:formatCode>0</c:formatCode>
                <c:ptCount val="13"/>
                <c:pt idx="0">
                  <c:v>134.39612200067589</c:v>
                </c:pt>
                <c:pt idx="1">
                  <c:v>129.75561845217979</c:v>
                </c:pt>
                <c:pt idx="2">
                  <c:v>145.14616424467727</c:v>
                </c:pt>
                <c:pt idx="3">
                  <c:v>187.83055931057788</c:v>
                </c:pt>
                <c:pt idx="4">
                  <c:v>182.72325954714432</c:v>
                </c:pt>
                <c:pt idx="5">
                  <c:v>127.11959276782696</c:v>
                </c:pt>
                <c:pt idx="6">
                  <c:v>159.50701250422441</c:v>
                </c:pt>
                <c:pt idx="7">
                  <c:v>156.40419060493412</c:v>
                </c:pt>
                <c:pt idx="8">
                  <c:v>164.58685366677932</c:v>
                </c:pt>
                <c:pt idx="9">
                  <c:v>163.96903514700912</c:v>
                </c:pt>
                <c:pt idx="10">
                  <c:v>218.89996620479891</c:v>
                </c:pt>
                <c:pt idx="11">
                  <c:v>222.95010983440355</c:v>
                </c:pt>
                <c:pt idx="12">
                  <c:v>236.226343359243</c:v>
                </c:pt>
              </c:numCache>
            </c:numRef>
          </c:val>
          <c:smooth val="0"/>
          <c:extLst>
            <c:ext xmlns:c16="http://schemas.microsoft.com/office/drawing/2014/chart" uri="{C3380CC4-5D6E-409C-BE32-E72D297353CC}">
              <c16:uniqueId val="{00000002-94F7-47AF-85C8-4C610C9ABFB9}"/>
            </c:ext>
          </c:extLst>
        </c:ser>
        <c:dLbls>
          <c:showLegendKey val="0"/>
          <c:showVal val="0"/>
          <c:showCatName val="0"/>
          <c:showSerName val="0"/>
          <c:showPercent val="0"/>
          <c:showBubbleSize val="0"/>
        </c:dLbls>
        <c:hiLowLines>
          <c:spPr>
            <a:ln w="3175" cap="flat" cmpd="sng" algn="ctr">
              <a:solidFill>
                <a:schemeClr val="tx1"/>
              </a:solidFill>
              <a:prstDash val="lgDash"/>
              <a:round/>
            </a:ln>
            <a:effectLst/>
          </c:spPr>
        </c:hiLowLines>
        <c:axId val="1606265568"/>
        <c:axId val="1606266048"/>
      </c:stockChart>
      <c:catAx>
        <c:axId val="160626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06266048"/>
        <c:crosses val="autoZero"/>
        <c:auto val="1"/>
        <c:lblAlgn val="ctr"/>
        <c:lblOffset val="100"/>
        <c:noMultiLvlLbl val="0"/>
      </c:catAx>
      <c:valAx>
        <c:axId val="160626604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Labor</a:t>
                </a:r>
                <a:r>
                  <a:rPr lang="en-US" baseline="0"/>
                  <a:t> Income relative to LAC median labor income (p.p.)</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062655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'Figure 11 a) and b)'!$G$1</c:f>
              <c:strCache>
                <c:ptCount val="1"/>
                <c:pt idx="0">
                  <c:v> Annualized Wage Growth</c:v>
                </c:pt>
              </c:strCache>
            </c:strRef>
          </c:tx>
          <c:spPr>
            <a:solidFill>
              <a:schemeClr val="accent5"/>
            </a:solidFill>
            <a:ln>
              <a:noFill/>
            </a:ln>
            <a:effectLst/>
          </c:spPr>
          <c:invertIfNegative val="0"/>
          <c:dPt>
            <c:idx val="12"/>
            <c:invertIfNegative val="0"/>
            <c:bubble3D val="0"/>
            <c:extLst>
              <c:ext xmlns:c16="http://schemas.microsoft.com/office/drawing/2014/chart" uri="{C3380CC4-5D6E-409C-BE32-E72D297353CC}">
                <c16:uniqueId val="{00000000-6D13-40E6-85B0-0D6C83D22D03}"/>
              </c:ext>
            </c:extLst>
          </c:dPt>
          <c:dPt>
            <c:idx val="13"/>
            <c:invertIfNegative val="0"/>
            <c:bubble3D val="0"/>
            <c:spPr>
              <a:solidFill>
                <a:schemeClr val="accent5">
                  <a:alpha val="50000"/>
                </a:schemeClr>
              </a:solidFill>
              <a:ln>
                <a:noFill/>
              </a:ln>
              <a:effectLst/>
            </c:spPr>
            <c:extLst>
              <c:ext xmlns:c16="http://schemas.microsoft.com/office/drawing/2014/chart" uri="{C3380CC4-5D6E-409C-BE32-E72D297353CC}">
                <c16:uniqueId val="{00000002-6D13-40E6-85B0-0D6C83D22D03}"/>
              </c:ext>
            </c:extLst>
          </c:dPt>
          <c:cat>
            <c:strRef>
              <c:f>'Figure 11 a) and b)'!$B$2:$B$25</c:f>
              <c:strCache>
                <c:ptCount val="24"/>
                <c:pt idx="0">
                  <c:v>Colombia</c:v>
                </c:pt>
                <c:pt idx="1">
                  <c:v>Mongolia</c:v>
                </c:pt>
                <c:pt idx="2">
                  <c:v>Uruguay</c:v>
                </c:pt>
                <c:pt idx="3">
                  <c:v>Armenia</c:v>
                </c:pt>
                <c:pt idx="4">
                  <c:v>El Salvador</c:v>
                </c:pt>
                <c:pt idx="5">
                  <c:v>Vietnam</c:v>
                </c:pt>
                <c:pt idx="6">
                  <c:v>Mexico</c:v>
                </c:pt>
                <c:pt idx="7">
                  <c:v>Chile</c:v>
                </c:pt>
                <c:pt idx="8">
                  <c:v>Philippines</c:v>
                </c:pt>
                <c:pt idx="9">
                  <c:v>Ecuador</c:v>
                </c:pt>
                <c:pt idx="10">
                  <c:v>Dominican Republic</c:v>
                </c:pt>
                <c:pt idx="11">
                  <c:v>Brazil</c:v>
                </c:pt>
                <c:pt idx="12">
                  <c:v>Indonesia</c:v>
                </c:pt>
                <c:pt idx="13">
                  <c:v>LAC</c:v>
                </c:pt>
                <c:pt idx="14">
                  <c:v>Costa Rica</c:v>
                </c:pt>
                <c:pt idx="15">
                  <c:v>Paraguay</c:v>
                </c:pt>
                <c:pt idx="16">
                  <c:v>Peru (Lima and Callao)</c:v>
                </c:pt>
                <c:pt idx="17">
                  <c:v>Thailand</c:v>
                </c:pt>
                <c:pt idx="18">
                  <c:v>Turkey</c:v>
                </c:pt>
                <c:pt idx="19">
                  <c:v>Bolivia</c:v>
                </c:pt>
                <c:pt idx="20">
                  <c:v>Georgia</c:v>
                </c:pt>
                <c:pt idx="21">
                  <c:v>India</c:v>
                </c:pt>
                <c:pt idx="22">
                  <c:v>Sri Lanka</c:v>
                </c:pt>
                <c:pt idx="23">
                  <c:v>Argentina</c:v>
                </c:pt>
              </c:strCache>
            </c:strRef>
          </c:cat>
          <c:val>
            <c:numRef>
              <c:f>'Figure 11 a) and b)'!$G$2:$G$25</c:f>
              <c:numCache>
                <c:formatCode>0.0</c:formatCode>
                <c:ptCount val="24"/>
                <c:pt idx="0">
                  <c:v>3.8722637663902941</c:v>
                </c:pt>
                <c:pt idx="1">
                  <c:v>3.2859911947610949</c:v>
                </c:pt>
                <c:pt idx="2">
                  <c:v>3.1067407636980349</c:v>
                </c:pt>
                <c:pt idx="3">
                  <c:v>2.7788913522443388</c:v>
                </c:pt>
                <c:pt idx="4">
                  <c:v>2.246037383510902</c:v>
                </c:pt>
                <c:pt idx="5">
                  <c:v>2.2264764136111341</c:v>
                </c:pt>
                <c:pt idx="6">
                  <c:v>2.1804242550293562</c:v>
                </c:pt>
                <c:pt idx="7">
                  <c:v>1.936800313647802</c:v>
                </c:pt>
                <c:pt idx="8">
                  <c:v>1.5315177215535991</c:v>
                </c:pt>
                <c:pt idx="9">
                  <c:v>1.1683236333980049</c:v>
                </c:pt>
                <c:pt idx="10">
                  <c:v>1.065237117785633</c:v>
                </c:pt>
                <c:pt idx="11">
                  <c:v>0.71949124850057</c:v>
                </c:pt>
                <c:pt idx="12">
                  <c:v>0.67436422345121816</c:v>
                </c:pt>
                <c:pt idx="13">
                  <c:v>0.58380840373859488</c:v>
                </c:pt>
                <c:pt idx="14">
                  <c:v>0.58177701208990129</c:v>
                </c:pt>
                <c:pt idx="15">
                  <c:v>0.46183430842212658</c:v>
                </c:pt>
                <c:pt idx="16">
                  <c:v>0.46065503282146653</c:v>
                </c:pt>
                <c:pt idx="17">
                  <c:v>0.2497426370673628</c:v>
                </c:pt>
                <c:pt idx="18">
                  <c:v>1.2323101105149449E-2</c:v>
                </c:pt>
                <c:pt idx="19">
                  <c:v>-0.2710431014321002</c:v>
                </c:pt>
                <c:pt idx="20">
                  <c:v>-0.33913410572536939</c:v>
                </c:pt>
                <c:pt idx="21">
                  <c:v>-0.75829795762992758</c:v>
                </c:pt>
                <c:pt idx="22">
                  <c:v>-2.735395185578215</c:v>
                </c:pt>
                <c:pt idx="23">
                  <c:v>-3.9927278885983801</c:v>
                </c:pt>
              </c:numCache>
            </c:numRef>
          </c:val>
          <c:extLst>
            <c:ext xmlns:c16="http://schemas.microsoft.com/office/drawing/2014/chart" uri="{C3380CC4-5D6E-409C-BE32-E72D297353CC}">
              <c16:uniqueId val="{00000003-6D13-40E6-85B0-0D6C83D22D03}"/>
            </c:ext>
          </c:extLst>
        </c:ser>
        <c:dLbls>
          <c:showLegendKey val="0"/>
          <c:showVal val="0"/>
          <c:showCatName val="0"/>
          <c:showSerName val="0"/>
          <c:showPercent val="0"/>
          <c:showBubbleSize val="0"/>
        </c:dLbls>
        <c:gapWidth val="219"/>
        <c:axId val="706503232"/>
        <c:axId val="706512352"/>
      </c:barChart>
      <c:lineChart>
        <c:grouping val="standard"/>
        <c:varyColors val="0"/>
        <c:ser>
          <c:idx val="1"/>
          <c:order val="1"/>
          <c:tx>
            <c:strRef>
              <c:f>'Figure 11 a) and b)'!$H$1</c:f>
              <c:strCache>
                <c:ptCount val="1"/>
                <c:pt idx="0">
                  <c:v>Annualized Labor Income Growth</c:v>
                </c:pt>
              </c:strCache>
            </c:strRef>
          </c:tx>
          <c:spPr>
            <a:ln w="28575" cap="rnd">
              <a:noFill/>
              <a:round/>
            </a:ln>
            <a:effectLst/>
          </c:spPr>
          <c:marker>
            <c:symbol val="diamond"/>
            <c:size val="6"/>
            <c:spPr>
              <a:solidFill>
                <a:schemeClr val="bg2">
                  <a:lumMod val="50000"/>
                </a:schemeClr>
              </a:solidFill>
              <a:ln w="9525">
                <a:solidFill>
                  <a:schemeClr val="bg2">
                    <a:lumMod val="75000"/>
                  </a:schemeClr>
                </a:solidFill>
              </a:ln>
              <a:effectLst/>
            </c:spPr>
          </c:marker>
          <c:cat>
            <c:strRef>
              <c:f>'Figure 11 a) and b)'!$B$2:$B$25</c:f>
              <c:strCache>
                <c:ptCount val="24"/>
                <c:pt idx="0">
                  <c:v>Colombia</c:v>
                </c:pt>
                <c:pt idx="1">
                  <c:v>Mongolia</c:v>
                </c:pt>
                <c:pt idx="2">
                  <c:v>Uruguay</c:v>
                </c:pt>
                <c:pt idx="3">
                  <c:v>Armenia</c:v>
                </c:pt>
                <c:pt idx="4">
                  <c:v>El Salvador</c:v>
                </c:pt>
                <c:pt idx="5">
                  <c:v>Vietnam</c:v>
                </c:pt>
                <c:pt idx="6">
                  <c:v>Mexico</c:v>
                </c:pt>
                <c:pt idx="7">
                  <c:v>Chile</c:v>
                </c:pt>
                <c:pt idx="8">
                  <c:v>Philippines</c:v>
                </c:pt>
                <c:pt idx="9">
                  <c:v>Ecuador</c:v>
                </c:pt>
                <c:pt idx="10">
                  <c:v>Dominican Republic</c:v>
                </c:pt>
                <c:pt idx="11">
                  <c:v>Brazil</c:v>
                </c:pt>
                <c:pt idx="12">
                  <c:v>Indonesia</c:v>
                </c:pt>
                <c:pt idx="13">
                  <c:v>LAC</c:v>
                </c:pt>
                <c:pt idx="14">
                  <c:v>Costa Rica</c:v>
                </c:pt>
                <c:pt idx="15">
                  <c:v>Paraguay</c:v>
                </c:pt>
                <c:pt idx="16">
                  <c:v>Peru (Lima and Callao)</c:v>
                </c:pt>
                <c:pt idx="17">
                  <c:v>Thailand</c:v>
                </c:pt>
                <c:pt idx="18">
                  <c:v>Turkey</c:v>
                </c:pt>
                <c:pt idx="19">
                  <c:v>Bolivia</c:v>
                </c:pt>
                <c:pt idx="20">
                  <c:v>Georgia</c:v>
                </c:pt>
                <c:pt idx="21">
                  <c:v>India</c:v>
                </c:pt>
                <c:pt idx="22">
                  <c:v>Sri Lanka</c:v>
                </c:pt>
                <c:pt idx="23">
                  <c:v>Argentina</c:v>
                </c:pt>
              </c:strCache>
            </c:strRef>
          </c:cat>
          <c:val>
            <c:numRef>
              <c:f>'Figure 11 a) and b)'!$H$2:$H$25</c:f>
              <c:numCache>
                <c:formatCode>0.0</c:formatCode>
                <c:ptCount val="24"/>
                <c:pt idx="0">
                  <c:v>5.7698234992627384</c:v>
                </c:pt>
                <c:pt idx="2">
                  <c:v>3.8880775289136471</c:v>
                </c:pt>
                <c:pt idx="4">
                  <c:v>2.4588680998228312</c:v>
                </c:pt>
                <c:pt idx="6">
                  <c:v>1.825008665171213</c:v>
                </c:pt>
                <c:pt idx="7">
                  <c:v>1.3678368706806281</c:v>
                </c:pt>
                <c:pt idx="9">
                  <c:v>2.1874063891961231</c:v>
                </c:pt>
                <c:pt idx="10">
                  <c:v>1.204305111478954</c:v>
                </c:pt>
                <c:pt idx="11">
                  <c:v>1.258824282089344</c:v>
                </c:pt>
                <c:pt idx="13">
                  <c:v>0.73174613706226133</c:v>
                </c:pt>
                <c:pt idx="14">
                  <c:v>0.22109249141732959</c:v>
                </c:pt>
                <c:pt idx="15">
                  <c:v>-0.4045058068934515</c:v>
                </c:pt>
                <c:pt idx="16">
                  <c:v>-1.1479608321595449</c:v>
                </c:pt>
                <c:pt idx="19">
                  <c:v>-1.1613499925764439</c:v>
                </c:pt>
                <c:pt idx="23">
                  <c:v>-4.5071014527803586</c:v>
                </c:pt>
              </c:numCache>
            </c:numRef>
          </c:val>
          <c:smooth val="0"/>
          <c:extLst>
            <c:ext xmlns:c16="http://schemas.microsoft.com/office/drawing/2014/chart" uri="{C3380CC4-5D6E-409C-BE32-E72D297353CC}">
              <c16:uniqueId val="{00000004-6D13-40E6-85B0-0D6C83D22D03}"/>
            </c:ext>
          </c:extLst>
        </c:ser>
        <c:dLbls>
          <c:showLegendKey val="0"/>
          <c:showVal val="0"/>
          <c:showCatName val="0"/>
          <c:showSerName val="0"/>
          <c:showPercent val="0"/>
          <c:showBubbleSize val="0"/>
        </c:dLbls>
        <c:marker val="1"/>
        <c:smooth val="0"/>
        <c:axId val="706503232"/>
        <c:axId val="706512352"/>
      </c:lineChart>
      <c:catAx>
        <c:axId val="70650323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accent5"/>
                </a:solidFill>
                <a:latin typeface="+mn-lt"/>
                <a:ea typeface="+mn-ea"/>
                <a:cs typeface="+mn-cs"/>
              </a:defRPr>
            </a:pPr>
            <a:endParaRPr lang="en-US"/>
          </a:p>
        </c:txPr>
        <c:crossAx val="706512352"/>
        <c:crosses val="autoZero"/>
        <c:auto val="1"/>
        <c:lblAlgn val="ctr"/>
        <c:lblOffset val="100"/>
        <c:noMultiLvlLbl val="0"/>
      </c:catAx>
      <c:valAx>
        <c:axId val="7065123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Annualized g</a:t>
                </a:r>
                <a:r>
                  <a:rPr lang="en-US" baseline="0">
                    <a:solidFill>
                      <a:schemeClr val="tx1"/>
                    </a:solidFill>
                  </a:rPr>
                  <a:t>rowth (percent)</a:t>
                </a:r>
                <a:endParaRPr lang="en-US">
                  <a:solidFill>
                    <a:schemeClr val="tx1"/>
                  </a:solidFill>
                </a:endParaRPr>
              </a:p>
            </c:rich>
          </c:tx>
          <c:overlay val="0"/>
          <c:spPr>
            <a:noFill/>
            <a:ln>
              <a:noFill/>
            </a:ln>
            <a:effectLst/>
          </c:sp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503232"/>
        <c:crosses val="autoZero"/>
        <c:crossBetween val="between"/>
      </c:valAx>
    </c:plotArea>
    <c:legend>
      <c:legendPos val="tr"/>
      <c:layout>
        <c:manualLayout>
          <c:xMode val="edge"/>
          <c:yMode val="edge"/>
          <c:x val="0.48004468155201674"/>
          <c:y val="2.5608986401695438E-2"/>
          <c:w val="0.49735952429033037"/>
          <c:h val="0.14725368826537094"/>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ln>
      <a:noFill/>
    </a:ln>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6905632683685599E-2"/>
          <c:y val="3.4524647258300283E-2"/>
          <c:w val="0.90181314418821445"/>
          <c:h val="0.90825065282263262"/>
        </c:manualLayout>
      </c:layout>
      <c:scatterChart>
        <c:scatterStyle val="lineMarker"/>
        <c:varyColors val="0"/>
        <c:ser>
          <c:idx val="0"/>
          <c:order val="0"/>
          <c:tx>
            <c:v>non-LAC</c:v>
          </c:tx>
          <c:spPr>
            <a:ln w="25400" cap="rnd">
              <a:noFill/>
              <a:round/>
            </a:ln>
            <a:effectLst/>
          </c:spPr>
          <c:marker>
            <c:symbol val="circle"/>
            <c:size val="5"/>
            <c:spPr>
              <a:solidFill>
                <a:srgbClr val="002060">
                  <a:alpha val="50000"/>
                </a:srgbClr>
              </a:solidFill>
              <a:ln w="9525">
                <a:noFill/>
              </a:ln>
              <a:effectLst/>
            </c:spPr>
          </c:marker>
          <c:dLbls>
            <c:dLbl>
              <c:idx val="0"/>
              <c:tx>
                <c:rich>
                  <a:bodyPr/>
                  <a:lstStyle/>
                  <a:p>
                    <a:fld id="{8F1BDEDC-C436-4ACC-B95F-5A2F36B8785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79A-473E-A24C-027CBEABBA91}"/>
                </c:ext>
              </c:extLst>
            </c:dLbl>
            <c:dLbl>
              <c:idx val="1"/>
              <c:tx>
                <c:rich>
                  <a:bodyPr/>
                  <a:lstStyle/>
                  <a:p>
                    <a:fld id="{FB2FDE05-732D-4B35-B168-C28D9155BE2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79A-473E-A24C-027CBEABBA91}"/>
                </c:ext>
              </c:extLst>
            </c:dLbl>
            <c:dLbl>
              <c:idx val="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A79A-473E-A24C-027CBEABBA91}"/>
                </c:ext>
              </c:extLst>
            </c:dLbl>
            <c:dLbl>
              <c:idx val="3"/>
              <c:tx>
                <c:rich>
                  <a:bodyPr/>
                  <a:lstStyle/>
                  <a:p>
                    <a:fld id="{9D1F563E-A7D6-4EF0-B7B3-71361F493B8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79A-473E-A24C-027CBEABBA91}"/>
                </c:ext>
              </c:extLst>
            </c:dLbl>
            <c:dLbl>
              <c:idx val="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A79A-473E-A24C-027CBEABBA91}"/>
                </c:ext>
              </c:extLst>
            </c:dLbl>
            <c:dLbl>
              <c:idx val="5"/>
              <c:tx>
                <c:rich>
                  <a:bodyPr/>
                  <a:lstStyle/>
                  <a:p>
                    <a:fld id="{4C4E744C-AB23-4445-ABFD-FE846E4E44A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79A-473E-A24C-027CBEABBA91}"/>
                </c:ext>
              </c:extLst>
            </c:dLbl>
            <c:dLbl>
              <c:idx val="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A79A-473E-A24C-027CBEABBA91}"/>
                </c:ext>
              </c:extLst>
            </c:dLbl>
            <c:dLbl>
              <c:idx val="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A79A-473E-A24C-027CBEABBA91}"/>
                </c:ext>
              </c:extLst>
            </c:dLbl>
            <c:dLbl>
              <c:idx val="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A79A-473E-A24C-027CBEABBA91}"/>
                </c:ext>
              </c:extLst>
            </c:dLbl>
            <c:dLbl>
              <c:idx val="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A79A-473E-A24C-027CBEABBA91}"/>
                </c:ext>
              </c:extLst>
            </c:dLbl>
            <c:dLbl>
              <c:idx val="1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A79A-473E-A24C-027CBEABBA91}"/>
                </c:ext>
              </c:extLst>
            </c:dLbl>
            <c:dLbl>
              <c:idx val="11"/>
              <c:tx>
                <c:rich>
                  <a:bodyPr/>
                  <a:lstStyle/>
                  <a:p>
                    <a:fld id="{17F09787-F873-48AC-8C06-B039CEFBB1D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A79A-473E-A24C-027CBEABBA91}"/>
                </c:ext>
              </c:extLst>
            </c:dLbl>
            <c:dLbl>
              <c:idx val="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A79A-473E-A24C-027CBEABBA91}"/>
                </c:ext>
              </c:extLst>
            </c:dLbl>
            <c:dLbl>
              <c:idx val="13"/>
              <c:tx>
                <c:rich>
                  <a:bodyPr/>
                  <a:lstStyle/>
                  <a:p>
                    <a:fld id="{DCA01F7B-F4CD-41FD-BCEB-25F0A0AA542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A79A-473E-A24C-027CBEABBA91}"/>
                </c:ext>
              </c:extLst>
            </c:dLbl>
            <c:dLbl>
              <c:idx val="14"/>
              <c:tx>
                <c:rich>
                  <a:bodyPr/>
                  <a:lstStyle/>
                  <a:p>
                    <a:fld id="{DFE82AFA-64D6-4FE4-839C-70DD89B77F2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A79A-473E-A24C-027CBEABBA91}"/>
                </c:ext>
              </c:extLst>
            </c:dLbl>
            <c:dLbl>
              <c:idx val="1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A79A-473E-A24C-027CBEABBA91}"/>
                </c:ext>
              </c:extLst>
            </c:dLbl>
            <c:dLbl>
              <c:idx val="1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A79A-473E-A24C-027CBEABBA91}"/>
                </c:ext>
              </c:extLst>
            </c:dLbl>
            <c:dLbl>
              <c:idx val="17"/>
              <c:layout>
                <c:manualLayout>
                  <c:x val="-4.0596344521684334E-2"/>
                  <c:y val="3.1781819206290064E-2"/>
                </c:manualLayout>
              </c:layout>
              <c:tx>
                <c:rich>
                  <a:bodyPr/>
                  <a:lstStyle/>
                  <a:p>
                    <a:fld id="{14E0C16C-4C4D-4150-A0B6-3A42B040D7B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A79A-473E-A24C-027CBEABBA91}"/>
                </c:ext>
              </c:extLst>
            </c:dLbl>
            <c:dLbl>
              <c:idx val="1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A79A-473E-A24C-027CBEABBA91}"/>
                </c:ext>
              </c:extLst>
            </c:dLbl>
            <c:dLbl>
              <c:idx val="1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A79A-473E-A24C-027CBEABBA91}"/>
                </c:ext>
              </c:extLst>
            </c:dLbl>
            <c:dLbl>
              <c:idx val="2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A79A-473E-A24C-027CBEABBA91}"/>
                </c:ext>
              </c:extLst>
            </c:dLbl>
            <c:dLbl>
              <c:idx val="21"/>
              <c:tx>
                <c:rich>
                  <a:bodyPr/>
                  <a:lstStyle/>
                  <a:p>
                    <a:fld id="{805FB1BE-EC5B-4DD3-8AB8-A7A2EEE2436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A79A-473E-A24C-027CBEABBA91}"/>
                </c:ext>
              </c:extLst>
            </c:dLbl>
            <c:dLbl>
              <c:idx val="22"/>
              <c:tx>
                <c:rich>
                  <a:bodyPr/>
                  <a:lstStyle/>
                  <a:p>
                    <a:fld id="{AD2D027E-41C4-46D7-81B0-F6EDD7C2D29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A79A-473E-A24C-027CBEABBA91}"/>
                </c:ext>
              </c:extLst>
            </c:dLbl>
            <c:dLbl>
              <c:idx val="2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A79A-473E-A24C-027CBEABBA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'Figure 11 a) and b)'!$X$2:$X$25</c:f>
              <c:numCache>
                <c:formatCode>0.00</c:formatCode>
                <c:ptCount val="24"/>
                <c:pt idx="0">
                  <c:v>1.0463574521639485</c:v>
                </c:pt>
                <c:pt idx="1">
                  <c:v>2.8543638629436874</c:v>
                </c:pt>
                <c:pt idx="3">
                  <c:v>5.1965041145917601</c:v>
                </c:pt>
                <c:pt idx="5">
                  <c:v>2.7766436452656196</c:v>
                </c:pt>
                <c:pt idx="11">
                  <c:v>2.1247387681285756</c:v>
                </c:pt>
                <c:pt idx="13">
                  <c:v>1.1111393647862844</c:v>
                </c:pt>
                <c:pt idx="14">
                  <c:v>3.0228260852047661</c:v>
                </c:pt>
                <c:pt idx="17">
                  <c:v>5.991471396069703</c:v>
                </c:pt>
                <c:pt idx="21">
                  <c:v>1.28125115773845</c:v>
                </c:pt>
                <c:pt idx="22">
                  <c:v>0.21546276390576047</c:v>
                </c:pt>
              </c:numCache>
            </c:numRef>
          </c:xVal>
          <c:yVal>
            <c:numRef>
              <c:f>'Figure 11 a) and b)'!$W$2:$W$25</c:f>
              <c:numCache>
                <c:formatCode>0.00</c:formatCode>
                <c:ptCount val="24"/>
                <c:pt idx="0">
                  <c:v>3.2859911947610949</c:v>
                </c:pt>
                <c:pt idx="1">
                  <c:v>2.7788913522443388</c:v>
                </c:pt>
                <c:pt idx="3">
                  <c:v>2.2264764136111341</c:v>
                </c:pt>
                <c:pt idx="5">
                  <c:v>1.5315177215535991</c:v>
                </c:pt>
                <c:pt idx="11">
                  <c:v>0.67436422345121816</c:v>
                </c:pt>
                <c:pt idx="13">
                  <c:v>0.2497426370673628</c:v>
                </c:pt>
                <c:pt idx="14">
                  <c:v>1.2323101105149449E-2</c:v>
                </c:pt>
                <c:pt idx="17">
                  <c:v>-0.33913410572536939</c:v>
                </c:pt>
                <c:pt idx="21">
                  <c:v>-0.75829795762992758</c:v>
                </c:pt>
                <c:pt idx="22">
                  <c:v>-2.735395185578215</c:v>
                </c:pt>
              </c:numCache>
            </c:numRef>
          </c:yVal>
          <c:smooth val="0"/>
          <c:extLst>
            <c:ext xmlns:c15="http://schemas.microsoft.com/office/drawing/2012/chart" uri="{02D57815-91ED-43cb-92C2-25804820EDAC}">
              <c15:datalabelsRange>
                <c15:f>'Figure 11 a) and b)'!$U$2:$U$25</c15:f>
                <c15:dlblRangeCache>
                  <c:ptCount val="24"/>
                  <c:pt idx="0">
                    <c:v>Mongolia</c:v>
                  </c:pt>
                  <c:pt idx="1">
                    <c:v>Armenia</c:v>
                  </c:pt>
                  <c:pt idx="2">
                    <c:v>Mexico</c:v>
                  </c:pt>
                  <c:pt idx="3">
                    <c:v>Vietnam</c:v>
                  </c:pt>
                  <c:pt idx="4">
                    <c:v>El Salvador</c:v>
                  </c:pt>
                  <c:pt idx="5">
                    <c:v>Philippines</c:v>
                  </c:pt>
                  <c:pt idx="6">
                    <c:v>Colombia</c:v>
                  </c:pt>
                  <c:pt idx="7">
                    <c:v>Chile</c:v>
                  </c:pt>
                  <c:pt idx="8">
                    <c:v>Dominican Republic</c:v>
                  </c:pt>
                  <c:pt idx="9">
                    <c:v>Brazil</c:v>
                  </c:pt>
                  <c:pt idx="10">
                    <c:v>Ecuador</c:v>
                  </c:pt>
                  <c:pt idx="11">
                    <c:v>Indonesia</c:v>
                  </c:pt>
                  <c:pt idx="12">
                    <c:v>LAC</c:v>
                  </c:pt>
                  <c:pt idx="13">
                    <c:v>Thailand</c:v>
                  </c:pt>
                  <c:pt idx="14">
                    <c:v>Turkey</c:v>
                  </c:pt>
                  <c:pt idx="15">
                    <c:v>Peru (Lima and Callao)</c:v>
                  </c:pt>
                  <c:pt idx="16">
                    <c:v>Bolivia</c:v>
                  </c:pt>
                  <c:pt idx="17">
                    <c:v>Georgia</c:v>
                  </c:pt>
                  <c:pt idx="18">
                    <c:v>Uruguay</c:v>
                  </c:pt>
                  <c:pt idx="19">
                    <c:v>Costa Rica</c:v>
                  </c:pt>
                  <c:pt idx="20">
                    <c:v>Paraguay</c:v>
                  </c:pt>
                  <c:pt idx="21">
                    <c:v>India</c:v>
                  </c:pt>
                  <c:pt idx="22">
                    <c:v>Sri Lanka</c:v>
                  </c:pt>
                  <c:pt idx="23">
                    <c:v>Argentina</c:v>
                  </c:pt>
                </c15:dlblRangeCache>
              </c15:datalabelsRange>
            </c:ext>
            <c:ext xmlns:c16="http://schemas.microsoft.com/office/drawing/2014/chart" uri="{C3380CC4-5D6E-409C-BE32-E72D297353CC}">
              <c16:uniqueId val="{00000018-A79A-473E-A24C-027CBEABBA91}"/>
            </c:ext>
          </c:extLst>
        </c:ser>
        <c:ser>
          <c:idx val="1"/>
          <c:order val="1"/>
          <c:tx>
            <c:v>LAC</c:v>
          </c:tx>
          <c:spPr>
            <a:ln w="25400" cap="rnd">
              <a:noFill/>
              <a:round/>
            </a:ln>
            <a:effectLst/>
          </c:spPr>
          <c:marker>
            <c:symbol val="circle"/>
            <c:size val="5"/>
            <c:spPr>
              <a:solidFill>
                <a:schemeClr val="accent5"/>
              </a:solidFill>
              <a:ln w="9525">
                <a:noFill/>
              </a:ln>
              <a:effectLst/>
            </c:spPr>
          </c:marker>
          <c:dLbls>
            <c:dLbl>
              <c:idx val="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A79A-473E-A24C-027CBEABBA91}"/>
                </c:ext>
              </c:extLst>
            </c:dLbl>
            <c:dLbl>
              <c:idx val="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A79A-473E-A24C-027CBEABBA91}"/>
                </c:ext>
              </c:extLst>
            </c:dLbl>
            <c:dLbl>
              <c:idx val="2"/>
              <c:tx>
                <c:rich>
                  <a:bodyPr/>
                  <a:lstStyle/>
                  <a:p>
                    <a:fld id="{B31B4C06-CFF3-43AA-BDF3-C33721DEEE2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A79A-473E-A24C-027CBEABBA91}"/>
                </c:ext>
              </c:extLst>
            </c:dLbl>
            <c:dLbl>
              <c:idx val="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A79A-473E-A24C-027CBEABBA91}"/>
                </c:ext>
              </c:extLst>
            </c:dLbl>
            <c:dLbl>
              <c:idx val="4"/>
              <c:tx>
                <c:rich>
                  <a:bodyPr/>
                  <a:lstStyle/>
                  <a:p>
                    <a:fld id="{2C8D79FE-03D0-451B-A500-F8E11970F0B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A79A-473E-A24C-027CBEABBA91}"/>
                </c:ext>
              </c:extLst>
            </c:dLbl>
            <c:dLbl>
              <c:idx val="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A79A-473E-A24C-027CBEABBA91}"/>
                </c:ext>
              </c:extLst>
            </c:dLbl>
            <c:dLbl>
              <c:idx val="6"/>
              <c:layout>
                <c:manualLayout>
                  <c:x val="-9.5042735554439657E-3"/>
                  <c:y val="-1.7154641275996568E-2"/>
                </c:manualLayout>
              </c:layout>
              <c:tx>
                <c:rich>
                  <a:bodyPr/>
                  <a:lstStyle/>
                  <a:p>
                    <a:fld id="{E3C7C225-4C46-4406-90AF-59B73A0FA0E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A79A-473E-A24C-027CBEABBA91}"/>
                </c:ext>
              </c:extLst>
            </c:dLbl>
            <c:dLbl>
              <c:idx val="7"/>
              <c:tx>
                <c:rich>
                  <a:bodyPr/>
                  <a:lstStyle/>
                  <a:p>
                    <a:fld id="{955A625A-96C9-488B-8732-470B1A747BF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A79A-473E-A24C-027CBEABBA91}"/>
                </c:ext>
              </c:extLst>
            </c:dLbl>
            <c:dLbl>
              <c:idx val="8"/>
              <c:layout>
                <c:manualLayout>
                  <c:x val="-4.7521367777219829E-3"/>
                  <c:y val="1.2253315197140359E-2"/>
                </c:manualLayout>
              </c:layout>
              <c:tx>
                <c:rich>
                  <a:bodyPr/>
                  <a:lstStyle/>
                  <a:p>
                    <a:fld id="{F2FD9C0D-ECF8-4D17-91BA-2DF61EB6A2A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A79A-473E-A24C-027CBEABBA91}"/>
                </c:ext>
              </c:extLst>
            </c:dLbl>
            <c:dLbl>
              <c:idx val="9"/>
              <c:tx>
                <c:rich>
                  <a:bodyPr/>
                  <a:lstStyle/>
                  <a:p>
                    <a:fld id="{109E8FDB-EDA6-4E56-899D-186DBB6D58F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A79A-473E-A24C-027CBEABBA91}"/>
                </c:ext>
              </c:extLst>
            </c:dLbl>
            <c:dLbl>
              <c:idx val="10"/>
              <c:tx>
                <c:rich>
                  <a:bodyPr/>
                  <a:lstStyle/>
                  <a:p>
                    <a:fld id="{E58BB9CE-5C02-48A6-9776-F73BC546456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A79A-473E-A24C-027CBEABBA91}"/>
                </c:ext>
              </c:extLst>
            </c:dLbl>
            <c:dLbl>
              <c:idx val="1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A79A-473E-A24C-027CBEABBA91}"/>
                </c:ext>
              </c:extLst>
            </c:dLbl>
            <c:dLbl>
              <c:idx val="12"/>
              <c:tx>
                <c:rich>
                  <a:bodyPr rot="0" spcFirstLastPara="1" vertOverflow="ellipsis"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fld id="{D9538370-53C3-4E6D-9E41-522D2E3678ED}" type="CELLRANGE">
                      <a:rPr lang="en-US"/>
                      <a:pPr>
                        <a:defRPr sz="1000" b="1">
                          <a:solidFill>
                            <a:schemeClr val="accent5"/>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A79A-473E-A24C-027CBEABBA91}"/>
                </c:ext>
              </c:extLst>
            </c:dLbl>
            <c:dLbl>
              <c:idx val="1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6-A79A-473E-A24C-027CBEABBA91}"/>
                </c:ext>
              </c:extLst>
            </c:dLbl>
            <c:dLbl>
              <c:idx val="1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A79A-473E-A24C-027CBEABBA91}"/>
                </c:ext>
              </c:extLst>
            </c:dLbl>
            <c:dLbl>
              <c:idx val="15"/>
              <c:layout>
                <c:manualLayout>
                  <c:x val="-2.6136752845752828E-2"/>
                  <c:y val="2.9602189193415895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5"/>
                        </a:solidFill>
                        <a:latin typeface="+mn-lt"/>
                        <a:ea typeface="+mn-ea"/>
                        <a:cs typeface="+mn-cs"/>
                      </a:defRPr>
                    </a:pPr>
                    <a:fld id="{A258C6C6-FD8E-4679-9EB3-4358CC00C9C5}" type="CELLRANGE">
                      <a:rPr lang="en-US"/>
                      <a:pPr>
                        <a:defRPr>
                          <a:solidFill>
                            <a:schemeClr val="accent5"/>
                          </a:solidFill>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19424358965282232"/>
                      <c:h val="8.1186825850501854E-2"/>
                    </c:manualLayout>
                  </c15:layout>
                  <c15:dlblFieldTable/>
                  <c15:showDataLabelsRange val="1"/>
                </c:ext>
                <c:ext xmlns:c16="http://schemas.microsoft.com/office/drawing/2014/chart" uri="{C3380CC4-5D6E-409C-BE32-E72D297353CC}">
                  <c16:uniqueId val="{00000028-A79A-473E-A24C-027CBEABBA91}"/>
                </c:ext>
              </c:extLst>
            </c:dLbl>
            <c:dLbl>
              <c:idx val="16"/>
              <c:tx>
                <c:rich>
                  <a:bodyPr/>
                  <a:lstStyle/>
                  <a:p>
                    <a:fld id="{99D7913D-8232-452F-AF7A-468B3269B29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A79A-473E-A24C-027CBEABBA91}"/>
                </c:ext>
              </c:extLst>
            </c:dLbl>
            <c:dLbl>
              <c:idx val="1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A-A79A-473E-A24C-027CBEABBA91}"/>
                </c:ext>
              </c:extLst>
            </c:dLbl>
            <c:dLbl>
              <c:idx val="18"/>
              <c:tx>
                <c:rich>
                  <a:bodyPr/>
                  <a:lstStyle/>
                  <a:p>
                    <a:fld id="{D2AD232E-65F8-4B61-ADED-9D471A13D83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A79A-473E-A24C-027CBEABBA91}"/>
                </c:ext>
              </c:extLst>
            </c:dLbl>
            <c:dLbl>
              <c:idx val="19"/>
              <c:tx>
                <c:rich>
                  <a:bodyPr/>
                  <a:lstStyle/>
                  <a:p>
                    <a:fld id="{D0907583-157F-4DD8-9899-BD9151353E7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A79A-473E-A24C-027CBEABBA91}"/>
                </c:ext>
              </c:extLst>
            </c:dLbl>
            <c:dLbl>
              <c:idx val="20"/>
              <c:tx>
                <c:rich>
                  <a:bodyPr/>
                  <a:lstStyle/>
                  <a:p>
                    <a:fld id="{DADBF4C9-695A-40A9-82E2-5860FA58CF3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A79A-473E-A24C-027CBEABBA91}"/>
                </c:ext>
              </c:extLst>
            </c:dLbl>
            <c:dLbl>
              <c:idx val="2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E-A79A-473E-A24C-027CBEABBA91}"/>
                </c:ext>
              </c:extLst>
            </c:dLbl>
            <c:dLbl>
              <c:idx val="2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F-A79A-473E-A24C-027CBEABBA91}"/>
                </c:ext>
              </c:extLst>
            </c:dLbl>
            <c:dLbl>
              <c:idx val="23"/>
              <c:tx>
                <c:rich>
                  <a:bodyPr/>
                  <a:lstStyle/>
                  <a:p>
                    <a:fld id="{A1F5C761-ED12-413A-BD37-5DBBBE9D3C8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A79A-473E-A24C-027CBEABBA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'Figure 11 a) and b)'!$Z$2:$Z$25</c:f>
              <c:numCache>
                <c:formatCode>0.00</c:formatCode>
                <c:ptCount val="24"/>
                <c:pt idx="2">
                  <c:v>-0.78235300247738726</c:v>
                </c:pt>
                <c:pt idx="4">
                  <c:v>1.0332589772121814</c:v>
                </c:pt>
                <c:pt idx="6">
                  <c:v>0.28769626635725132</c:v>
                </c:pt>
                <c:pt idx="7">
                  <c:v>0.85732607078383705</c:v>
                </c:pt>
                <c:pt idx="8">
                  <c:v>1.9873718726743927</c:v>
                </c:pt>
                <c:pt idx="9">
                  <c:v>0.44875742087946424</c:v>
                </c:pt>
                <c:pt idx="10">
                  <c:v>2.5550579205172674</c:v>
                </c:pt>
                <c:pt idx="12">
                  <c:v>3.0523588106956545E-2</c:v>
                </c:pt>
                <c:pt idx="15">
                  <c:v>0.50178566529315294</c:v>
                </c:pt>
                <c:pt idx="16">
                  <c:v>-1.9813660566641689</c:v>
                </c:pt>
                <c:pt idx="18">
                  <c:v>-0.66663137489746394</c:v>
                </c:pt>
                <c:pt idx="19">
                  <c:v>2.8057065629300215</c:v>
                </c:pt>
                <c:pt idx="20">
                  <c:v>1.9217379828375236</c:v>
                </c:pt>
                <c:pt idx="23">
                  <c:v>-1.8904771439896217</c:v>
                </c:pt>
              </c:numCache>
            </c:numRef>
          </c:xVal>
          <c:yVal>
            <c:numRef>
              <c:f>'Figure 11 a) and b)'!$Y$2:$Y$25</c:f>
              <c:numCache>
                <c:formatCode>0.00</c:formatCode>
                <c:ptCount val="24"/>
                <c:pt idx="2">
                  <c:v>2.1804242550293562</c:v>
                </c:pt>
                <c:pt idx="4">
                  <c:v>2.246037383510902</c:v>
                </c:pt>
                <c:pt idx="6">
                  <c:v>3.8722637663902941</c:v>
                </c:pt>
                <c:pt idx="7">
                  <c:v>1.936800313647802</c:v>
                </c:pt>
                <c:pt idx="8">
                  <c:v>1.065237117785633</c:v>
                </c:pt>
                <c:pt idx="9">
                  <c:v>0.71949124850057</c:v>
                </c:pt>
                <c:pt idx="10">
                  <c:v>1.1683236333980049</c:v>
                </c:pt>
                <c:pt idx="12">
                  <c:v>0.58380840373859488</c:v>
                </c:pt>
                <c:pt idx="15">
                  <c:v>0.46065503282146653</c:v>
                </c:pt>
                <c:pt idx="16">
                  <c:v>-0.2710431014321002</c:v>
                </c:pt>
                <c:pt idx="18">
                  <c:v>3.1067407636980349</c:v>
                </c:pt>
                <c:pt idx="19">
                  <c:v>0.58177701208990129</c:v>
                </c:pt>
                <c:pt idx="20">
                  <c:v>0.46183430842212658</c:v>
                </c:pt>
                <c:pt idx="23">
                  <c:v>-3.9927278885983801</c:v>
                </c:pt>
              </c:numCache>
            </c:numRef>
          </c:yVal>
          <c:smooth val="0"/>
          <c:extLst>
            <c:ext xmlns:c15="http://schemas.microsoft.com/office/drawing/2012/chart" uri="{02D57815-91ED-43cb-92C2-25804820EDAC}">
              <c15:datalabelsRange>
                <c15:f>'Figure 11 a) and b)'!$U$2:$U$25</c15:f>
                <c15:dlblRangeCache>
                  <c:ptCount val="24"/>
                  <c:pt idx="0">
                    <c:v>Mongolia</c:v>
                  </c:pt>
                  <c:pt idx="1">
                    <c:v>Armenia</c:v>
                  </c:pt>
                  <c:pt idx="2">
                    <c:v>Mexico</c:v>
                  </c:pt>
                  <c:pt idx="3">
                    <c:v>Vietnam</c:v>
                  </c:pt>
                  <c:pt idx="4">
                    <c:v>El Salvador</c:v>
                  </c:pt>
                  <c:pt idx="5">
                    <c:v>Philippines</c:v>
                  </c:pt>
                  <c:pt idx="6">
                    <c:v>Colombia</c:v>
                  </c:pt>
                  <c:pt idx="7">
                    <c:v>Chile</c:v>
                  </c:pt>
                  <c:pt idx="8">
                    <c:v>Dominican Republic</c:v>
                  </c:pt>
                  <c:pt idx="9">
                    <c:v>Brazil</c:v>
                  </c:pt>
                  <c:pt idx="10">
                    <c:v>Ecuador</c:v>
                  </c:pt>
                  <c:pt idx="11">
                    <c:v>Indonesia</c:v>
                  </c:pt>
                  <c:pt idx="12">
                    <c:v>LAC</c:v>
                  </c:pt>
                  <c:pt idx="13">
                    <c:v>Thailand</c:v>
                  </c:pt>
                  <c:pt idx="14">
                    <c:v>Turkey</c:v>
                  </c:pt>
                  <c:pt idx="15">
                    <c:v>Peru (Lima and Callao)</c:v>
                  </c:pt>
                  <c:pt idx="16">
                    <c:v>Bolivia</c:v>
                  </c:pt>
                  <c:pt idx="17">
                    <c:v>Georgia</c:v>
                  </c:pt>
                  <c:pt idx="18">
                    <c:v>Uruguay</c:v>
                  </c:pt>
                  <c:pt idx="19">
                    <c:v>Costa Rica</c:v>
                  </c:pt>
                  <c:pt idx="20">
                    <c:v>Paraguay</c:v>
                  </c:pt>
                  <c:pt idx="21">
                    <c:v>India</c:v>
                  </c:pt>
                  <c:pt idx="22">
                    <c:v>Sri Lanka</c:v>
                  </c:pt>
                  <c:pt idx="23">
                    <c:v>Argentina</c:v>
                  </c:pt>
                </c15:dlblRangeCache>
              </c15:datalabelsRange>
            </c:ext>
            <c:ext xmlns:c16="http://schemas.microsoft.com/office/drawing/2014/chart" uri="{C3380CC4-5D6E-409C-BE32-E72D297353CC}">
              <c16:uniqueId val="{00000031-A79A-473E-A24C-027CBEABBA91}"/>
            </c:ext>
          </c:extLst>
        </c:ser>
        <c:dLbls>
          <c:showLegendKey val="0"/>
          <c:showVal val="0"/>
          <c:showCatName val="0"/>
          <c:showSerName val="0"/>
          <c:showPercent val="0"/>
          <c:showBubbleSize val="0"/>
        </c:dLbls>
        <c:axId val="1053435455"/>
        <c:axId val="1053435935"/>
      </c:scatterChart>
      <c:valAx>
        <c:axId val="1053435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Annualized Productivity Growth (percent)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2">
                    <a:lumMod val="75000"/>
                  </a:schemeClr>
                </a:solidFill>
                <a:latin typeface="+mn-lt"/>
                <a:ea typeface="+mn-ea"/>
                <a:cs typeface="+mn-cs"/>
              </a:defRPr>
            </a:pPr>
            <a:endParaRPr lang="en-US"/>
          </a:p>
        </c:txPr>
        <c:crossAx val="1053435935"/>
        <c:crosses val="autoZero"/>
        <c:crossBetween val="midCat"/>
      </c:valAx>
      <c:valAx>
        <c:axId val="10534359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Annualized Wage Growth (percent)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2">
                    <a:lumMod val="75000"/>
                  </a:schemeClr>
                </a:solidFill>
                <a:latin typeface="+mn-lt"/>
                <a:ea typeface="+mn-ea"/>
                <a:cs typeface="+mn-cs"/>
              </a:defRPr>
            </a:pPr>
            <a:endParaRPr lang="en-US"/>
          </a:p>
        </c:txPr>
        <c:crossAx val="10534354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184716192505028E-2"/>
          <c:y val="0.14935101060699743"/>
          <c:w val="0.90420813500649067"/>
          <c:h val="0.75389643855998867"/>
        </c:manualLayout>
      </c:layout>
      <c:barChart>
        <c:barDir val="col"/>
        <c:grouping val="stacked"/>
        <c:varyColors val="0"/>
        <c:ser>
          <c:idx val="1"/>
          <c:order val="0"/>
          <c:tx>
            <c:strRef>
              <c:f>'Figure 12'!$C$16</c:f>
              <c:strCache>
                <c:ptCount val="1"/>
                <c:pt idx="0">
                  <c:v>Workforce Gender Composition</c:v>
                </c:pt>
              </c:strCache>
            </c:strRef>
          </c:tx>
          <c:spPr>
            <a:solidFill>
              <a:srgbClr val="00B0F0"/>
            </a:solidFill>
            <a:ln>
              <a:noFill/>
            </a:ln>
            <a:effectLst/>
          </c:spPr>
          <c:invertIfNegative val="0"/>
          <c:cat>
            <c:numRef>
              <c:f>'Figure 12'!$A$18:$A$24</c:f>
              <c:numCache>
                <c:formatCode>General</c:formatCode>
                <c:ptCount val="7"/>
                <c:pt idx="0">
                  <c:v>20</c:v>
                </c:pt>
                <c:pt idx="1">
                  <c:v>30</c:v>
                </c:pt>
                <c:pt idx="2">
                  <c:v>40</c:v>
                </c:pt>
                <c:pt idx="3">
                  <c:v>50</c:v>
                </c:pt>
                <c:pt idx="4">
                  <c:v>60</c:v>
                </c:pt>
                <c:pt idx="5">
                  <c:v>70</c:v>
                </c:pt>
                <c:pt idx="6">
                  <c:v>80</c:v>
                </c:pt>
              </c:numCache>
            </c:numRef>
          </c:cat>
          <c:val>
            <c:numRef>
              <c:f>'Figure 12'!$C$18:$C$24</c:f>
              <c:numCache>
                <c:formatCode>0.0</c:formatCode>
                <c:ptCount val="7"/>
                <c:pt idx="0">
                  <c:v>-6.5851523876190186</c:v>
                </c:pt>
                <c:pt idx="1">
                  <c:v>-4.5007420063018797</c:v>
                </c:pt>
                <c:pt idx="2">
                  <c:v>-3.9664672374725343</c:v>
                </c:pt>
                <c:pt idx="3">
                  <c:v>-3.6714545011520388</c:v>
                </c:pt>
                <c:pt idx="4">
                  <c:v>-4.1432245492935182</c:v>
                </c:pt>
                <c:pt idx="5">
                  <c:v>-4.531720066070557</c:v>
                </c:pt>
                <c:pt idx="6">
                  <c:v>-5.3361829519271851</c:v>
                </c:pt>
              </c:numCache>
            </c:numRef>
          </c:val>
          <c:extLst>
            <c:ext xmlns:c16="http://schemas.microsoft.com/office/drawing/2014/chart" uri="{C3380CC4-5D6E-409C-BE32-E72D297353CC}">
              <c16:uniqueId val="{00000000-CC8A-466F-93FE-936AC0FA6BC1}"/>
            </c:ext>
          </c:extLst>
        </c:ser>
        <c:ser>
          <c:idx val="3"/>
          <c:order val="1"/>
          <c:tx>
            <c:strRef>
              <c:f>'Figure 12'!$E$16</c:f>
              <c:strCache>
                <c:ptCount val="1"/>
                <c:pt idx="0">
                  <c:v>Gender Wage Premium</c:v>
                </c:pt>
              </c:strCache>
            </c:strRef>
          </c:tx>
          <c:spPr>
            <a:solidFill>
              <a:schemeClr val="accent3">
                <a:lumMod val="75000"/>
              </a:schemeClr>
            </a:solidFill>
            <a:ln>
              <a:noFill/>
            </a:ln>
            <a:effectLst/>
          </c:spPr>
          <c:invertIfNegative val="0"/>
          <c:cat>
            <c:numRef>
              <c:f>'Figure 12'!$A$18:$A$24</c:f>
              <c:numCache>
                <c:formatCode>General</c:formatCode>
                <c:ptCount val="7"/>
                <c:pt idx="0">
                  <c:v>20</c:v>
                </c:pt>
                <c:pt idx="1">
                  <c:v>30</c:v>
                </c:pt>
                <c:pt idx="2">
                  <c:v>40</c:v>
                </c:pt>
                <c:pt idx="3">
                  <c:v>50</c:v>
                </c:pt>
                <c:pt idx="4">
                  <c:v>60</c:v>
                </c:pt>
                <c:pt idx="5">
                  <c:v>70</c:v>
                </c:pt>
                <c:pt idx="6">
                  <c:v>80</c:v>
                </c:pt>
              </c:numCache>
            </c:numRef>
          </c:cat>
          <c:val>
            <c:numRef>
              <c:f>'Figure 12'!$E$18:$E$24</c:f>
              <c:numCache>
                <c:formatCode>0.0</c:formatCode>
                <c:ptCount val="7"/>
                <c:pt idx="0">
                  <c:v>108.61323573589326</c:v>
                </c:pt>
                <c:pt idx="1">
                  <c:v>6.0166333198547353</c:v>
                </c:pt>
                <c:pt idx="2">
                  <c:v>15.708204841613769</c:v>
                </c:pt>
                <c:pt idx="3">
                  <c:v>-16.936757421493532</c:v>
                </c:pt>
                <c:pt idx="4">
                  <c:v>-7.4803714752197248</c:v>
                </c:pt>
                <c:pt idx="5">
                  <c:v>-27.796786832809449</c:v>
                </c:pt>
                <c:pt idx="6">
                  <c:v>-6.3485369682312012</c:v>
                </c:pt>
              </c:numCache>
            </c:numRef>
          </c:val>
          <c:extLst>
            <c:ext xmlns:c16="http://schemas.microsoft.com/office/drawing/2014/chart" uri="{C3380CC4-5D6E-409C-BE32-E72D297353CC}">
              <c16:uniqueId val="{00000001-CC8A-466F-93FE-936AC0FA6BC1}"/>
            </c:ext>
          </c:extLst>
        </c:ser>
        <c:ser>
          <c:idx val="0"/>
          <c:order val="2"/>
          <c:tx>
            <c:strRef>
              <c:f>'Figure 12'!$B$16</c:f>
              <c:strCache>
                <c:ptCount val="1"/>
                <c:pt idx="0">
                  <c:v>Workforce Educational Composition</c:v>
                </c:pt>
              </c:strCache>
            </c:strRef>
          </c:tx>
          <c:spPr>
            <a:solidFill>
              <a:schemeClr val="accent5"/>
            </a:solidFill>
            <a:ln>
              <a:noFill/>
            </a:ln>
            <a:effectLst/>
          </c:spPr>
          <c:invertIfNegative val="0"/>
          <c:cat>
            <c:numRef>
              <c:f>'Figure 12'!$A$18:$A$24</c:f>
              <c:numCache>
                <c:formatCode>General</c:formatCode>
                <c:ptCount val="7"/>
                <c:pt idx="0">
                  <c:v>20</c:v>
                </c:pt>
                <c:pt idx="1">
                  <c:v>30</c:v>
                </c:pt>
                <c:pt idx="2">
                  <c:v>40</c:v>
                </c:pt>
                <c:pt idx="3">
                  <c:v>50</c:v>
                </c:pt>
                <c:pt idx="4">
                  <c:v>60</c:v>
                </c:pt>
                <c:pt idx="5">
                  <c:v>70</c:v>
                </c:pt>
                <c:pt idx="6">
                  <c:v>80</c:v>
                </c:pt>
              </c:numCache>
            </c:numRef>
          </c:cat>
          <c:val>
            <c:numRef>
              <c:f>'Figure 12'!$B$18:$B$24</c:f>
              <c:numCache>
                <c:formatCode>0.0</c:formatCode>
                <c:ptCount val="7"/>
                <c:pt idx="0">
                  <c:v>37.415021324157713</c:v>
                </c:pt>
                <c:pt idx="1">
                  <c:v>28.568910980224608</c:v>
                </c:pt>
                <c:pt idx="2">
                  <c:v>39.971840095520022</c:v>
                </c:pt>
                <c:pt idx="3">
                  <c:v>37.588079643249515</c:v>
                </c:pt>
                <c:pt idx="4">
                  <c:v>54.818934631347659</c:v>
                </c:pt>
                <c:pt idx="5">
                  <c:v>65.858351135253912</c:v>
                </c:pt>
                <c:pt idx="6">
                  <c:v>81.949834060668934</c:v>
                </c:pt>
              </c:numCache>
            </c:numRef>
          </c:val>
          <c:extLst>
            <c:ext xmlns:c16="http://schemas.microsoft.com/office/drawing/2014/chart" uri="{C3380CC4-5D6E-409C-BE32-E72D297353CC}">
              <c16:uniqueId val="{00000002-CC8A-466F-93FE-936AC0FA6BC1}"/>
            </c:ext>
          </c:extLst>
        </c:ser>
        <c:ser>
          <c:idx val="2"/>
          <c:order val="3"/>
          <c:tx>
            <c:strRef>
              <c:f>'Figure 12'!$D$16</c:f>
              <c:strCache>
                <c:ptCount val="1"/>
                <c:pt idx="0">
                  <c:v>Education Wage Premium</c:v>
                </c:pt>
              </c:strCache>
            </c:strRef>
          </c:tx>
          <c:spPr>
            <a:solidFill>
              <a:srgbClr val="002060"/>
            </a:solidFill>
            <a:ln>
              <a:noFill/>
            </a:ln>
            <a:effectLst/>
          </c:spPr>
          <c:invertIfNegative val="0"/>
          <c:cat>
            <c:numRef>
              <c:f>'Figure 12'!$A$18:$A$24</c:f>
              <c:numCache>
                <c:formatCode>General</c:formatCode>
                <c:ptCount val="7"/>
                <c:pt idx="0">
                  <c:v>20</c:v>
                </c:pt>
                <c:pt idx="1">
                  <c:v>30</c:v>
                </c:pt>
                <c:pt idx="2">
                  <c:v>40</c:v>
                </c:pt>
                <c:pt idx="3">
                  <c:v>50</c:v>
                </c:pt>
                <c:pt idx="4">
                  <c:v>60</c:v>
                </c:pt>
                <c:pt idx="5">
                  <c:v>70</c:v>
                </c:pt>
                <c:pt idx="6">
                  <c:v>80</c:v>
                </c:pt>
              </c:numCache>
            </c:numRef>
          </c:cat>
          <c:val>
            <c:numRef>
              <c:f>'Figure 12'!$D$18:$D$24</c:f>
              <c:numCache>
                <c:formatCode>0.0</c:formatCode>
                <c:ptCount val="7"/>
                <c:pt idx="0">
                  <c:v>-221.35789623260507</c:v>
                </c:pt>
                <c:pt idx="1">
                  <c:v>-50.406426239013676</c:v>
                </c:pt>
                <c:pt idx="2">
                  <c:v>24.64304342269898</c:v>
                </c:pt>
                <c:pt idx="3">
                  <c:v>-46.211917877197266</c:v>
                </c:pt>
                <c:pt idx="4">
                  <c:v>-49.35508956909181</c:v>
                </c:pt>
                <c:pt idx="5">
                  <c:v>-159.66927604675294</c:v>
                </c:pt>
                <c:pt idx="6">
                  <c:v>-129.01284866333009</c:v>
                </c:pt>
              </c:numCache>
            </c:numRef>
          </c:val>
          <c:extLst>
            <c:ext xmlns:c16="http://schemas.microsoft.com/office/drawing/2014/chart" uri="{C3380CC4-5D6E-409C-BE32-E72D297353CC}">
              <c16:uniqueId val="{00000003-CC8A-466F-93FE-936AC0FA6BC1}"/>
            </c:ext>
          </c:extLst>
        </c:ser>
        <c:ser>
          <c:idx val="4"/>
          <c:order val="4"/>
          <c:tx>
            <c:strRef>
              <c:f>'Figure 12'!$F$16</c:f>
              <c:strCache>
                <c:ptCount val="1"/>
                <c:pt idx="0">
                  <c:v>Other</c:v>
                </c:pt>
              </c:strCache>
            </c:strRef>
          </c:tx>
          <c:spPr>
            <a:solidFill>
              <a:schemeClr val="bg1">
                <a:lumMod val="85000"/>
              </a:schemeClr>
            </a:solidFill>
            <a:ln>
              <a:noFill/>
            </a:ln>
            <a:effectLst/>
          </c:spPr>
          <c:invertIfNegative val="0"/>
          <c:cat>
            <c:numRef>
              <c:f>'Figure 12'!$A$18:$A$24</c:f>
              <c:numCache>
                <c:formatCode>General</c:formatCode>
                <c:ptCount val="7"/>
                <c:pt idx="0">
                  <c:v>20</c:v>
                </c:pt>
                <c:pt idx="1">
                  <c:v>30</c:v>
                </c:pt>
                <c:pt idx="2">
                  <c:v>40</c:v>
                </c:pt>
                <c:pt idx="3">
                  <c:v>50</c:v>
                </c:pt>
                <c:pt idx="4">
                  <c:v>60</c:v>
                </c:pt>
                <c:pt idx="5">
                  <c:v>70</c:v>
                </c:pt>
                <c:pt idx="6">
                  <c:v>80</c:v>
                </c:pt>
              </c:numCache>
            </c:numRef>
          </c:cat>
          <c:val>
            <c:numRef>
              <c:f>'Figure 12'!$F$18:$F$24</c:f>
              <c:numCache>
                <c:formatCode>0.0</c:formatCode>
                <c:ptCount val="7"/>
                <c:pt idx="0">
                  <c:v>181.91436543464664</c:v>
                </c:pt>
                <c:pt idx="1">
                  <c:v>120.32156399041413</c:v>
                </c:pt>
                <c:pt idx="2">
                  <c:v>23.643512266874311</c:v>
                </c:pt>
                <c:pt idx="3">
                  <c:v>129.23203868865969</c:v>
                </c:pt>
                <c:pt idx="4">
                  <c:v>106.15971698760987</c:v>
                </c:pt>
                <c:pt idx="5">
                  <c:v>226.13951411247257</c:v>
                </c:pt>
                <c:pt idx="6">
                  <c:v>158.74767313003539</c:v>
                </c:pt>
              </c:numCache>
            </c:numRef>
          </c:val>
          <c:extLst>
            <c:ext xmlns:c16="http://schemas.microsoft.com/office/drawing/2014/chart" uri="{C3380CC4-5D6E-409C-BE32-E72D297353CC}">
              <c16:uniqueId val="{00000004-CC8A-466F-93FE-936AC0FA6BC1}"/>
            </c:ext>
          </c:extLst>
        </c:ser>
        <c:dLbls>
          <c:showLegendKey val="0"/>
          <c:showVal val="0"/>
          <c:showCatName val="0"/>
          <c:showSerName val="0"/>
          <c:showPercent val="0"/>
          <c:showBubbleSize val="0"/>
        </c:dLbls>
        <c:gapWidth val="150"/>
        <c:overlap val="100"/>
        <c:axId val="1120113440"/>
        <c:axId val="1120122080"/>
      </c:barChart>
      <c:catAx>
        <c:axId val="1120113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Labor</a:t>
                </a:r>
                <a:r>
                  <a:rPr lang="en-US" baseline="0">
                    <a:solidFill>
                      <a:schemeClr val="tx1"/>
                    </a:solidFill>
                  </a:rPr>
                  <a:t> income percentiles</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20122080"/>
        <c:crosses val="autoZero"/>
        <c:auto val="1"/>
        <c:lblAlgn val="ctr"/>
        <c:lblOffset val="100"/>
        <c:noMultiLvlLbl val="0"/>
      </c:catAx>
      <c:valAx>
        <c:axId val="112012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Percentage of labor income growth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20113440"/>
        <c:crosses val="autoZero"/>
        <c:crossBetween val="between"/>
      </c:valAx>
      <c:spPr>
        <a:noFill/>
        <a:ln>
          <a:noFill/>
        </a:ln>
        <a:effectLst/>
      </c:spPr>
    </c:plotArea>
    <c:legend>
      <c:legendPos val="tr"/>
      <c:overlay val="1"/>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4437390628389838E-2"/>
          <c:y val="1.6789834091254428E-2"/>
          <c:w val="0.95115157324840449"/>
          <c:h val="0.90408217141597158"/>
        </c:manualLayout>
      </c:layout>
      <c:bubbleChart>
        <c:varyColors val="0"/>
        <c:ser>
          <c:idx val="0"/>
          <c:order val="0"/>
          <c:spPr>
            <a:noFill/>
            <a:ln w="22225">
              <a:solidFill>
                <a:schemeClr val="accent1">
                  <a:alpha val="73000"/>
                </a:schemeClr>
              </a:solidFill>
            </a:ln>
            <a:effectLst/>
          </c:spPr>
          <c:invertIfNegative val="0"/>
          <c:dPt>
            <c:idx val="0"/>
            <c:invertIfNegative val="0"/>
            <c:bubble3D val="0"/>
            <c:spPr>
              <a:noFill/>
              <a:ln w="19050">
                <a:solidFill>
                  <a:srgbClr val="4EA72E">
                    <a:alpha val="73000"/>
                  </a:srgbClr>
                </a:solidFill>
              </a:ln>
              <a:effectLst/>
            </c:spPr>
            <c:extLst>
              <c:ext xmlns:c16="http://schemas.microsoft.com/office/drawing/2014/chart" uri="{C3380CC4-5D6E-409C-BE32-E72D297353CC}">
                <c16:uniqueId val="{00000001-F675-42DF-8F25-E5B439B65E7F}"/>
              </c:ext>
            </c:extLst>
          </c:dPt>
          <c:dPt>
            <c:idx val="1"/>
            <c:invertIfNegative val="0"/>
            <c:bubble3D val="0"/>
            <c:spPr>
              <a:noFill/>
              <a:ln w="19050">
                <a:solidFill>
                  <a:srgbClr val="4EA72E">
                    <a:alpha val="73000"/>
                  </a:srgbClr>
                </a:solidFill>
              </a:ln>
              <a:effectLst/>
            </c:spPr>
            <c:extLst>
              <c:ext xmlns:c16="http://schemas.microsoft.com/office/drawing/2014/chart" uri="{C3380CC4-5D6E-409C-BE32-E72D297353CC}">
                <c16:uniqueId val="{00000003-F675-42DF-8F25-E5B439B65E7F}"/>
              </c:ext>
            </c:extLst>
          </c:dPt>
          <c:dPt>
            <c:idx val="2"/>
            <c:invertIfNegative val="0"/>
            <c:bubble3D val="0"/>
            <c:spPr>
              <a:noFill/>
              <a:ln w="19050">
                <a:solidFill>
                  <a:srgbClr val="4EA72E">
                    <a:alpha val="73000"/>
                  </a:srgbClr>
                </a:solidFill>
              </a:ln>
              <a:effectLst/>
            </c:spPr>
            <c:extLst>
              <c:ext xmlns:c16="http://schemas.microsoft.com/office/drawing/2014/chart" uri="{C3380CC4-5D6E-409C-BE32-E72D297353CC}">
                <c16:uniqueId val="{00000005-F675-42DF-8F25-E5B439B65E7F}"/>
              </c:ext>
            </c:extLst>
          </c:dPt>
          <c:dPt>
            <c:idx val="3"/>
            <c:invertIfNegative val="0"/>
            <c:bubble3D val="0"/>
            <c:spPr>
              <a:noFill/>
              <a:ln w="19050">
                <a:solidFill>
                  <a:srgbClr val="4EA72E">
                    <a:alpha val="73000"/>
                  </a:srgbClr>
                </a:solidFill>
              </a:ln>
              <a:effectLst/>
            </c:spPr>
            <c:extLst>
              <c:ext xmlns:c16="http://schemas.microsoft.com/office/drawing/2014/chart" uri="{C3380CC4-5D6E-409C-BE32-E72D297353CC}">
                <c16:uniqueId val="{00000007-F675-42DF-8F25-E5B439B65E7F}"/>
              </c:ext>
            </c:extLst>
          </c:dPt>
          <c:dPt>
            <c:idx val="4"/>
            <c:invertIfNegative val="0"/>
            <c:bubble3D val="0"/>
            <c:spPr>
              <a:noFill/>
              <a:ln w="19050">
                <a:solidFill>
                  <a:srgbClr val="4EA72E">
                    <a:alpha val="73000"/>
                  </a:srgbClr>
                </a:solidFill>
              </a:ln>
              <a:effectLst/>
            </c:spPr>
            <c:extLst>
              <c:ext xmlns:c16="http://schemas.microsoft.com/office/drawing/2014/chart" uri="{C3380CC4-5D6E-409C-BE32-E72D297353CC}">
                <c16:uniqueId val="{00000009-F675-42DF-8F25-E5B439B65E7F}"/>
              </c:ext>
            </c:extLst>
          </c:dPt>
          <c:dPt>
            <c:idx val="5"/>
            <c:invertIfNegative val="0"/>
            <c:bubble3D val="0"/>
            <c:spPr>
              <a:noFill/>
              <a:ln w="19050">
                <a:solidFill>
                  <a:srgbClr val="4EA72E">
                    <a:alpha val="73000"/>
                  </a:srgbClr>
                </a:solidFill>
              </a:ln>
              <a:effectLst/>
            </c:spPr>
            <c:extLst>
              <c:ext xmlns:c16="http://schemas.microsoft.com/office/drawing/2014/chart" uri="{C3380CC4-5D6E-409C-BE32-E72D297353CC}">
                <c16:uniqueId val="{0000000B-F675-42DF-8F25-E5B439B65E7F}"/>
              </c:ext>
            </c:extLst>
          </c:dPt>
          <c:dPt>
            <c:idx val="6"/>
            <c:invertIfNegative val="0"/>
            <c:bubble3D val="0"/>
            <c:spPr>
              <a:noFill/>
              <a:ln w="19050">
                <a:solidFill>
                  <a:srgbClr val="4EA72E">
                    <a:alpha val="73000"/>
                  </a:srgbClr>
                </a:solidFill>
              </a:ln>
              <a:effectLst/>
            </c:spPr>
            <c:extLst>
              <c:ext xmlns:c16="http://schemas.microsoft.com/office/drawing/2014/chart" uri="{C3380CC4-5D6E-409C-BE32-E72D297353CC}">
                <c16:uniqueId val="{0000000D-F675-42DF-8F25-E5B439B65E7F}"/>
              </c:ext>
            </c:extLst>
          </c:dPt>
          <c:dPt>
            <c:idx val="7"/>
            <c:invertIfNegative val="0"/>
            <c:bubble3D val="0"/>
            <c:spPr>
              <a:noFill/>
              <a:ln w="19050">
                <a:solidFill>
                  <a:srgbClr val="4EA72E">
                    <a:alpha val="73000"/>
                  </a:srgbClr>
                </a:solidFill>
              </a:ln>
              <a:effectLst/>
            </c:spPr>
            <c:extLst>
              <c:ext xmlns:c16="http://schemas.microsoft.com/office/drawing/2014/chart" uri="{C3380CC4-5D6E-409C-BE32-E72D297353CC}">
                <c16:uniqueId val="{0000000F-F675-42DF-8F25-E5B439B65E7F}"/>
              </c:ext>
            </c:extLst>
          </c:dPt>
          <c:dPt>
            <c:idx val="8"/>
            <c:invertIfNegative val="0"/>
            <c:bubble3D val="0"/>
            <c:spPr>
              <a:noFill/>
              <a:ln w="19050">
                <a:solidFill>
                  <a:srgbClr val="4EA72E">
                    <a:alpha val="73000"/>
                  </a:srgbClr>
                </a:solidFill>
              </a:ln>
              <a:effectLst/>
            </c:spPr>
            <c:extLst>
              <c:ext xmlns:c16="http://schemas.microsoft.com/office/drawing/2014/chart" uri="{C3380CC4-5D6E-409C-BE32-E72D297353CC}">
                <c16:uniqueId val="{00000011-F675-42DF-8F25-E5B439B65E7F}"/>
              </c:ext>
            </c:extLst>
          </c:dPt>
          <c:dPt>
            <c:idx val="9"/>
            <c:invertIfNegative val="0"/>
            <c:bubble3D val="0"/>
            <c:spPr>
              <a:noFill/>
              <a:ln w="19050">
                <a:solidFill>
                  <a:srgbClr val="D9A441">
                    <a:alpha val="73000"/>
                  </a:srgbClr>
                </a:solidFill>
              </a:ln>
              <a:effectLst/>
            </c:spPr>
            <c:extLst>
              <c:ext xmlns:c16="http://schemas.microsoft.com/office/drawing/2014/chart" uri="{C3380CC4-5D6E-409C-BE32-E72D297353CC}">
                <c16:uniqueId val="{00000013-F675-42DF-8F25-E5B439B65E7F}"/>
              </c:ext>
            </c:extLst>
          </c:dPt>
          <c:dPt>
            <c:idx val="10"/>
            <c:invertIfNegative val="0"/>
            <c:bubble3D val="0"/>
            <c:spPr>
              <a:noFill/>
              <a:ln w="19050">
                <a:solidFill>
                  <a:srgbClr val="D9A441">
                    <a:alpha val="73000"/>
                  </a:srgbClr>
                </a:solidFill>
              </a:ln>
              <a:effectLst/>
            </c:spPr>
            <c:extLst>
              <c:ext xmlns:c16="http://schemas.microsoft.com/office/drawing/2014/chart" uri="{C3380CC4-5D6E-409C-BE32-E72D297353CC}">
                <c16:uniqueId val="{00000015-F675-42DF-8F25-E5B439B65E7F}"/>
              </c:ext>
            </c:extLst>
          </c:dPt>
          <c:dPt>
            <c:idx val="11"/>
            <c:invertIfNegative val="0"/>
            <c:bubble3D val="0"/>
            <c:spPr>
              <a:noFill/>
              <a:ln w="19050">
                <a:solidFill>
                  <a:srgbClr val="D9A441">
                    <a:alpha val="73000"/>
                  </a:srgbClr>
                </a:solidFill>
              </a:ln>
              <a:effectLst/>
            </c:spPr>
            <c:extLst>
              <c:ext xmlns:c16="http://schemas.microsoft.com/office/drawing/2014/chart" uri="{C3380CC4-5D6E-409C-BE32-E72D297353CC}">
                <c16:uniqueId val="{00000017-F675-42DF-8F25-E5B439B65E7F}"/>
              </c:ext>
            </c:extLst>
          </c:dPt>
          <c:dPt>
            <c:idx val="12"/>
            <c:invertIfNegative val="0"/>
            <c:bubble3D val="0"/>
            <c:spPr>
              <a:noFill/>
              <a:ln w="19050">
                <a:solidFill>
                  <a:srgbClr val="D9A441">
                    <a:alpha val="73000"/>
                  </a:srgbClr>
                </a:solidFill>
              </a:ln>
              <a:effectLst/>
            </c:spPr>
            <c:extLst>
              <c:ext xmlns:c16="http://schemas.microsoft.com/office/drawing/2014/chart" uri="{C3380CC4-5D6E-409C-BE32-E72D297353CC}">
                <c16:uniqueId val="{00000019-F675-42DF-8F25-E5B439B65E7F}"/>
              </c:ext>
            </c:extLst>
          </c:dPt>
          <c:dPt>
            <c:idx val="13"/>
            <c:invertIfNegative val="0"/>
            <c:bubble3D val="0"/>
            <c:spPr>
              <a:noFill/>
              <a:ln w="19050">
                <a:solidFill>
                  <a:srgbClr val="D9A441">
                    <a:alpha val="73000"/>
                  </a:srgbClr>
                </a:solidFill>
              </a:ln>
              <a:effectLst/>
            </c:spPr>
            <c:extLst>
              <c:ext xmlns:c16="http://schemas.microsoft.com/office/drawing/2014/chart" uri="{C3380CC4-5D6E-409C-BE32-E72D297353CC}">
                <c16:uniqueId val="{0000001B-F675-42DF-8F25-E5B439B65E7F}"/>
              </c:ext>
            </c:extLst>
          </c:dPt>
          <c:dPt>
            <c:idx val="14"/>
            <c:invertIfNegative val="0"/>
            <c:bubble3D val="0"/>
            <c:spPr>
              <a:noFill/>
              <a:ln w="19050">
                <a:solidFill>
                  <a:srgbClr val="D9A441">
                    <a:alpha val="73000"/>
                  </a:srgbClr>
                </a:solidFill>
              </a:ln>
              <a:effectLst/>
            </c:spPr>
            <c:extLst>
              <c:ext xmlns:c16="http://schemas.microsoft.com/office/drawing/2014/chart" uri="{C3380CC4-5D6E-409C-BE32-E72D297353CC}">
                <c16:uniqueId val="{0000001D-F675-42DF-8F25-E5B439B65E7F}"/>
              </c:ext>
            </c:extLst>
          </c:dPt>
          <c:dPt>
            <c:idx val="15"/>
            <c:invertIfNegative val="0"/>
            <c:bubble3D val="0"/>
            <c:spPr>
              <a:noFill/>
              <a:ln w="19050">
                <a:solidFill>
                  <a:srgbClr val="D9A441">
                    <a:alpha val="73000"/>
                  </a:srgbClr>
                </a:solidFill>
              </a:ln>
              <a:effectLst/>
            </c:spPr>
            <c:extLst>
              <c:ext xmlns:c16="http://schemas.microsoft.com/office/drawing/2014/chart" uri="{C3380CC4-5D6E-409C-BE32-E72D297353CC}">
                <c16:uniqueId val="{0000001F-F675-42DF-8F25-E5B439B65E7F}"/>
              </c:ext>
            </c:extLst>
          </c:dPt>
          <c:dPt>
            <c:idx val="16"/>
            <c:invertIfNegative val="0"/>
            <c:bubble3D val="0"/>
            <c:spPr>
              <a:noFill/>
              <a:ln w="19050">
                <a:solidFill>
                  <a:srgbClr val="D9A441">
                    <a:alpha val="73000"/>
                  </a:srgbClr>
                </a:solidFill>
              </a:ln>
              <a:effectLst/>
            </c:spPr>
            <c:extLst>
              <c:ext xmlns:c16="http://schemas.microsoft.com/office/drawing/2014/chart" uri="{C3380CC4-5D6E-409C-BE32-E72D297353CC}">
                <c16:uniqueId val="{00000021-F675-42DF-8F25-E5B439B65E7F}"/>
              </c:ext>
            </c:extLst>
          </c:dPt>
          <c:dPt>
            <c:idx val="17"/>
            <c:invertIfNegative val="0"/>
            <c:bubble3D val="0"/>
            <c:spPr>
              <a:noFill/>
              <a:ln w="19050">
                <a:solidFill>
                  <a:srgbClr val="D9A441">
                    <a:alpha val="73000"/>
                  </a:srgbClr>
                </a:solidFill>
              </a:ln>
              <a:effectLst/>
            </c:spPr>
            <c:extLst>
              <c:ext xmlns:c16="http://schemas.microsoft.com/office/drawing/2014/chart" uri="{C3380CC4-5D6E-409C-BE32-E72D297353CC}">
                <c16:uniqueId val="{00000023-F675-42DF-8F25-E5B439B65E7F}"/>
              </c:ext>
            </c:extLst>
          </c:dPt>
          <c:dPt>
            <c:idx val="18"/>
            <c:invertIfNegative val="0"/>
            <c:bubble3D val="0"/>
            <c:spPr>
              <a:noFill/>
              <a:ln w="19050">
                <a:solidFill>
                  <a:srgbClr val="156082">
                    <a:alpha val="73000"/>
                  </a:srgbClr>
                </a:solidFill>
              </a:ln>
              <a:effectLst/>
            </c:spPr>
            <c:extLst>
              <c:ext xmlns:c16="http://schemas.microsoft.com/office/drawing/2014/chart" uri="{C3380CC4-5D6E-409C-BE32-E72D297353CC}">
                <c16:uniqueId val="{00000025-F675-42DF-8F25-E5B439B65E7F}"/>
              </c:ext>
            </c:extLst>
          </c:dPt>
          <c:dPt>
            <c:idx val="19"/>
            <c:invertIfNegative val="0"/>
            <c:bubble3D val="0"/>
            <c:spPr>
              <a:noFill/>
              <a:ln w="19050">
                <a:solidFill>
                  <a:srgbClr val="156082">
                    <a:alpha val="73000"/>
                  </a:srgbClr>
                </a:solidFill>
              </a:ln>
              <a:effectLst/>
            </c:spPr>
            <c:extLst>
              <c:ext xmlns:c16="http://schemas.microsoft.com/office/drawing/2014/chart" uri="{C3380CC4-5D6E-409C-BE32-E72D297353CC}">
                <c16:uniqueId val="{00000027-F675-42DF-8F25-E5B439B65E7F}"/>
              </c:ext>
            </c:extLst>
          </c:dPt>
          <c:dPt>
            <c:idx val="20"/>
            <c:invertIfNegative val="0"/>
            <c:bubble3D val="0"/>
            <c:spPr>
              <a:noFill/>
              <a:ln w="19050">
                <a:solidFill>
                  <a:srgbClr val="156082">
                    <a:alpha val="73000"/>
                  </a:srgbClr>
                </a:solidFill>
              </a:ln>
              <a:effectLst/>
            </c:spPr>
            <c:extLst>
              <c:ext xmlns:c16="http://schemas.microsoft.com/office/drawing/2014/chart" uri="{C3380CC4-5D6E-409C-BE32-E72D297353CC}">
                <c16:uniqueId val="{00000029-F675-42DF-8F25-E5B439B65E7F}"/>
              </c:ext>
            </c:extLst>
          </c:dPt>
          <c:dPt>
            <c:idx val="21"/>
            <c:invertIfNegative val="0"/>
            <c:bubble3D val="0"/>
            <c:spPr>
              <a:noFill/>
              <a:ln w="19050">
                <a:solidFill>
                  <a:srgbClr val="156082">
                    <a:alpha val="73000"/>
                  </a:srgbClr>
                </a:solidFill>
              </a:ln>
              <a:effectLst/>
            </c:spPr>
            <c:extLst>
              <c:ext xmlns:c16="http://schemas.microsoft.com/office/drawing/2014/chart" uri="{C3380CC4-5D6E-409C-BE32-E72D297353CC}">
                <c16:uniqueId val="{0000002B-F675-42DF-8F25-E5B439B65E7F}"/>
              </c:ext>
            </c:extLst>
          </c:dPt>
          <c:dPt>
            <c:idx val="22"/>
            <c:invertIfNegative val="0"/>
            <c:bubble3D val="0"/>
            <c:spPr>
              <a:noFill/>
              <a:ln w="19050">
                <a:solidFill>
                  <a:srgbClr val="156082">
                    <a:alpha val="73000"/>
                  </a:srgbClr>
                </a:solidFill>
              </a:ln>
              <a:effectLst/>
            </c:spPr>
            <c:extLst>
              <c:ext xmlns:c16="http://schemas.microsoft.com/office/drawing/2014/chart" uri="{C3380CC4-5D6E-409C-BE32-E72D297353CC}">
                <c16:uniqueId val="{0000002D-F675-42DF-8F25-E5B439B65E7F}"/>
              </c:ext>
            </c:extLst>
          </c:dPt>
          <c:dPt>
            <c:idx val="23"/>
            <c:invertIfNegative val="0"/>
            <c:bubble3D val="0"/>
            <c:spPr>
              <a:noFill/>
              <a:ln w="19050">
                <a:solidFill>
                  <a:srgbClr val="156082">
                    <a:alpha val="73000"/>
                  </a:srgbClr>
                </a:solidFill>
              </a:ln>
              <a:effectLst/>
            </c:spPr>
            <c:extLst>
              <c:ext xmlns:c16="http://schemas.microsoft.com/office/drawing/2014/chart" uri="{C3380CC4-5D6E-409C-BE32-E72D297353CC}">
                <c16:uniqueId val="{0000002F-F675-42DF-8F25-E5B439B65E7F}"/>
              </c:ext>
            </c:extLst>
          </c:dPt>
          <c:dPt>
            <c:idx val="24"/>
            <c:invertIfNegative val="0"/>
            <c:bubble3D val="0"/>
            <c:spPr>
              <a:noFill/>
              <a:ln w="19050">
                <a:solidFill>
                  <a:srgbClr val="156082">
                    <a:alpha val="73000"/>
                  </a:srgbClr>
                </a:solidFill>
              </a:ln>
              <a:effectLst/>
            </c:spPr>
            <c:extLst>
              <c:ext xmlns:c16="http://schemas.microsoft.com/office/drawing/2014/chart" uri="{C3380CC4-5D6E-409C-BE32-E72D297353CC}">
                <c16:uniqueId val="{00000031-F675-42DF-8F25-E5B439B65E7F}"/>
              </c:ext>
            </c:extLst>
          </c:dPt>
          <c:dPt>
            <c:idx val="25"/>
            <c:invertIfNegative val="0"/>
            <c:bubble3D val="0"/>
            <c:spPr>
              <a:noFill/>
              <a:ln w="19050">
                <a:solidFill>
                  <a:srgbClr val="156082">
                    <a:alpha val="73000"/>
                  </a:srgbClr>
                </a:solidFill>
              </a:ln>
              <a:effectLst/>
            </c:spPr>
            <c:extLst>
              <c:ext xmlns:c16="http://schemas.microsoft.com/office/drawing/2014/chart" uri="{C3380CC4-5D6E-409C-BE32-E72D297353CC}">
                <c16:uniqueId val="{00000033-F675-42DF-8F25-E5B439B65E7F}"/>
              </c:ext>
            </c:extLst>
          </c:dPt>
          <c:dPt>
            <c:idx val="26"/>
            <c:invertIfNegative val="0"/>
            <c:bubble3D val="0"/>
            <c:spPr>
              <a:noFill/>
              <a:ln w="19050">
                <a:solidFill>
                  <a:srgbClr val="156082">
                    <a:alpha val="73000"/>
                  </a:srgbClr>
                </a:solidFill>
              </a:ln>
              <a:effectLst/>
            </c:spPr>
            <c:extLst>
              <c:ext xmlns:c16="http://schemas.microsoft.com/office/drawing/2014/chart" uri="{C3380CC4-5D6E-409C-BE32-E72D297353CC}">
                <c16:uniqueId val="{00000035-F675-42DF-8F25-E5B439B65E7F}"/>
              </c:ext>
            </c:extLst>
          </c:dPt>
          <c:dLbls>
            <c:dLbl>
              <c:idx val="0"/>
              <c:layout>
                <c:manualLayout>
                  <c:x val="-0.1922325462964638"/>
                  <c:y val="-0.1252731496133721"/>
                </c:manualLayout>
              </c:layout>
              <c:tx>
                <c:rich>
                  <a:bodyPr/>
                  <a:lstStyle/>
                  <a:p>
                    <a:fld id="{FB00AA9B-375E-47B1-AA98-7127CACAE0B9}"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675-42DF-8F25-E5B439B65E7F}"/>
                </c:ext>
              </c:extLst>
            </c:dLbl>
            <c:dLbl>
              <c:idx val="1"/>
              <c:delete val="1"/>
              <c:extLst>
                <c:ext xmlns:c15="http://schemas.microsoft.com/office/drawing/2012/chart" uri="{CE6537A1-D6FC-4f65-9D91-7224C49458BB}"/>
                <c:ext xmlns:c16="http://schemas.microsoft.com/office/drawing/2014/chart" uri="{C3380CC4-5D6E-409C-BE32-E72D297353CC}">
                  <c16:uniqueId val="{00000003-F675-42DF-8F25-E5B439B65E7F}"/>
                </c:ext>
              </c:extLst>
            </c:dLbl>
            <c:dLbl>
              <c:idx val="2"/>
              <c:layout>
                <c:manualLayout>
                  <c:x val="-0.11185932767702328"/>
                  <c:y val="0.11776297357033901"/>
                </c:manualLayout>
              </c:layout>
              <c:tx>
                <c:rich>
                  <a:bodyPr/>
                  <a:lstStyle/>
                  <a:p>
                    <a:fld id="{240DD0FF-B1BE-4C8B-A10D-F939FF88CE7C}"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675-42DF-8F25-E5B439B65E7F}"/>
                </c:ext>
              </c:extLst>
            </c:dLbl>
            <c:dLbl>
              <c:idx val="3"/>
              <c:delete val="1"/>
              <c:extLst>
                <c:ext xmlns:c15="http://schemas.microsoft.com/office/drawing/2012/chart" uri="{CE6537A1-D6FC-4f65-9D91-7224C49458BB}"/>
                <c:ext xmlns:c16="http://schemas.microsoft.com/office/drawing/2014/chart" uri="{C3380CC4-5D6E-409C-BE32-E72D297353CC}">
                  <c16:uniqueId val="{00000007-F675-42DF-8F25-E5B439B65E7F}"/>
                </c:ext>
              </c:extLst>
            </c:dLbl>
            <c:dLbl>
              <c:idx val="4"/>
              <c:delete val="1"/>
              <c:extLst>
                <c:ext xmlns:c15="http://schemas.microsoft.com/office/drawing/2012/chart" uri="{CE6537A1-D6FC-4f65-9D91-7224C49458BB}"/>
                <c:ext xmlns:c16="http://schemas.microsoft.com/office/drawing/2014/chart" uri="{C3380CC4-5D6E-409C-BE32-E72D297353CC}">
                  <c16:uniqueId val="{00000009-F675-42DF-8F25-E5B439B65E7F}"/>
                </c:ext>
              </c:extLst>
            </c:dLbl>
            <c:dLbl>
              <c:idx val="5"/>
              <c:delete val="1"/>
              <c:extLst>
                <c:ext xmlns:c15="http://schemas.microsoft.com/office/drawing/2012/chart" uri="{CE6537A1-D6FC-4f65-9D91-7224C49458BB}"/>
                <c:ext xmlns:c16="http://schemas.microsoft.com/office/drawing/2014/chart" uri="{C3380CC4-5D6E-409C-BE32-E72D297353CC}">
                  <c16:uniqueId val="{0000000B-F675-42DF-8F25-E5B439B65E7F}"/>
                </c:ext>
              </c:extLst>
            </c:dLbl>
            <c:dLbl>
              <c:idx val="6"/>
              <c:delete val="1"/>
              <c:extLst>
                <c:ext xmlns:c15="http://schemas.microsoft.com/office/drawing/2012/chart" uri="{CE6537A1-D6FC-4f65-9D91-7224C49458BB}"/>
                <c:ext xmlns:c16="http://schemas.microsoft.com/office/drawing/2014/chart" uri="{C3380CC4-5D6E-409C-BE32-E72D297353CC}">
                  <c16:uniqueId val="{0000000D-F675-42DF-8F25-E5B439B65E7F}"/>
                </c:ext>
              </c:extLst>
            </c:dLbl>
            <c:dLbl>
              <c:idx val="7"/>
              <c:layout>
                <c:manualLayout>
                  <c:x val="-0.2864219292995841"/>
                  <c:y val="-0.11768505527737326"/>
                </c:manualLayout>
              </c:layout>
              <c:tx>
                <c:rich>
                  <a:bodyPr/>
                  <a:lstStyle/>
                  <a:p>
                    <a:fld id="{884A9087-900F-4078-8735-DE0B1C3DBE84}"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F675-42DF-8F25-E5B439B65E7F}"/>
                </c:ext>
              </c:extLst>
            </c:dLbl>
            <c:dLbl>
              <c:idx val="8"/>
              <c:layout>
                <c:manualLayout>
                  <c:x val="-4.9275056241792651E-3"/>
                  <c:y val="5.8842533253191796E-2"/>
                </c:manualLayout>
              </c:layout>
              <c:tx>
                <c:rich>
                  <a:bodyPr/>
                  <a:lstStyle/>
                  <a:p>
                    <a:fld id="{11D27E1C-9BD5-420C-A532-768086B39CFB}"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F675-42DF-8F25-E5B439B65E7F}"/>
                </c:ext>
              </c:extLst>
            </c:dLbl>
            <c:dLbl>
              <c:idx val="9"/>
              <c:delete val="1"/>
              <c:extLst>
                <c:ext xmlns:c15="http://schemas.microsoft.com/office/drawing/2012/chart" uri="{CE6537A1-D6FC-4f65-9D91-7224C49458BB}"/>
                <c:ext xmlns:c16="http://schemas.microsoft.com/office/drawing/2014/chart" uri="{C3380CC4-5D6E-409C-BE32-E72D297353CC}">
                  <c16:uniqueId val="{00000013-F675-42DF-8F25-E5B439B65E7F}"/>
                </c:ext>
              </c:extLst>
            </c:dLbl>
            <c:dLbl>
              <c:idx val="10"/>
              <c:layout>
                <c:manualLayout>
                  <c:x val="3.2454699405165564E-2"/>
                  <c:y val="-0.11229406173313615"/>
                </c:manualLayout>
              </c:layout>
              <c:tx>
                <c:rich>
                  <a:bodyPr/>
                  <a:lstStyle/>
                  <a:p>
                    <a:fld id="{A2D3FE80-6B42-4096-91C4-53AF80217AE9}"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F675-42DF-8F25-E5B439B65E7F}"/>
                </c:ext>
              </c:extLst>
            </c:dLbl>
            <c:dLbl>
              <c:idx val="11"/>
              <c:delete val="1"/>
              <c:extLst>
                <c:ext xmlns:c15="http://schemas.microsoft.com/office/drawing/2012/chart" uri="{CE6537A1-D6FC-4f65-9D91-7224C49458BB}"/>
                <c:ext xmlns:c16="http://schemas.microsoft.com/office/drawing/2014/chart" uri="{C3380CC4-5D6E-409C-BE32-E72D297353CC}">
                  <c16:uniqueId val="{00000017-F675-42DF-8F25-E5B439B65E7F}"/>
                </c:ext>
              </c:extLst>
            </c:dLbl>
            <c:dLbl>
              <c:idx val="12"/>
              <c:layout>
                <c:manualLayout>
                  <c:x val="-0.32411550656827876"/>
                  <c:y val="-4.7893472848737705E-2"/>
                </c:manualLayout>
              </c:layout>
              <c:tx>
                <c:rich>
                  <a:bodyPr/>
                  <a:lstStyle/>
                  <a:p>
                    <a:fld id="{EB69BCFE-8061-4061-BA53-DE3A3052BBF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F675-42DF-8F25-E5B439B65E7F}"/>
                </c:ext>
              </c:extLst>
            </c:dLbl>
            <c:dLbl>
              <c:idx val="13"/>
              <c:delete val="1"/>
              <c:extLst>
                <c:ext xmlns:c15="http://schemas.microsoft.com/office/drawing/2012/chart" uri="{CE6537A1-D6FC-4f65-9D91-7224C49458BB}"/>
                <c:ext xmlns:c16="http://schemas.microsoft.com/office/drawing/2014/chart" uri="{C3380CC4-5D6E-409C-BE32-E72D297353CC}">
                  <c16:uniqueId val="{0000001B-F675-42DF-8F25-E5B439B65E7F}"/>
                </c:ext>
              </c:extLst>
            </c:dLbl>
            <c:dLbl>
              <c:idx val="14"/>
              <c:delete val="1"/>
              <c:extLst>
                <c:ext xmlns:c15="http://schemas.microsoft.com/office/drawing/2012/chart" uri="{CE6537A1-D6FC-4f65-9D91-7224C49458BB}"/>
                <c:ext xmlns:c16="http://schemas.microsoft.com/office/drawing/2014/chart" uri="{C3380CC4-5D6E-409C-BE32-E72D297353CC}">
                  <c16:uniqueId val="{0000001D-F675-42DF-8F25-E5B439B65E7F}"/>
                </c:ext>
              </c:extLst>
            </c:dLbl>
            <c:dLbl>
              <c:idx val="15"/>
              <c:delete val="1"/>
              <c:extLst>
                <c:ext xmlns:c15="http://schemas.microsoft.com/office/drawing/2012/chart" uri="{CE6537A1-D6FC-4f65-9D91-7224C49458BB}"/>
                <c:ext xmlns:c16="http://schemas.microsoft.com/office/drawing/2014/chart" uri="{C3380CC4-5D6E-409C-BE32-E72D297353CC}">
                  <c16:uniqueId val="{0000001F-F675-42DF-8F25-E5B439B65E7F}"/>
                </c:ext>
              </c:extLst>
            </c:dLbl>
            <c:dLbl>
              <c:idx val="16"/>
              <c:delete val="1"/>
              <c:extLst>
                <c:ext xmlns:c15="http://schemas.microsoft.com/office/drawing/2012/chart" uri="{CE6537A1-D6FC-4f65-9D91-7224C49458BB}"/>
                <c:ext xmlns:c16="http://schemas.microsoft.com/office/drawing/2014/chart" uri="{C3380CC4-5D6E-409C-BE32-E72D297353CC}">
                  <c16:uniqueId val="{00000021-F675-42DF-8F25-E5B439B65E7F}"/>
                </c:ext>
              </c:extLst>
            </c:dLbl>
            <c:dLbl>
              <c:idx val="17"/>
              <c:delete val="1"/>
              <c:extLst>
                <c:ext xmlns:c15="http://schemas.microsoft.com/office/drawing/2012/chart" uri="{CE6537A1-D6FC-4f65-9D91-7224C49458BB}"/>
                <c:ext xmlns:c16="http://schemas.microsoft.com/office/drawing/2014/chart" uri="{C3380CC4-5D6E-409C-BE32-E72D297353CC}">
                  <c16:uniqueId val="{00000023-F675-42DF-8F25-E5B439B65E7F}"/>
                </c:ext>
              </c:extLst>
            </c:dLbl>
            <c:dLbl>
              <c:idx val="18"/>
              <c:delete val="1"/>
              <c:extLst>
                <c:ext xmlns:c15="http://schemas.microsoft.com/office/drawing/2012/chart" uri="{CE6537A1-D6FC-4f65-9D91-7224C49458BB}"/>
                <c:ext xmlns:c16="http://schemas.microsoft.com/office/drawing/2014/chart" uri="{C3380CC4-5D6E-409C-BE32-E72D297353CC}">
                  <c16:uniqueId val="{00000025-F675-42DF-8F25-E5B439B65E7F}"/>
                </c:ext>
              </c:extLst>
            </c:dLbl>
            <c:dLbl>
              <c:idx val="19"/>
              <c:delete val="1"/>
              <c:extLst>
                <c:ext xmlns:c15="http://schemas.microsoft.com/office/drawing/2012/chart" uri="{CE6537A1-D6FC-4f65-9D91-7224C49458BB}"/>
                <c:ext xmlns:c16="http://schemas.microsoft.com/office/drawing/2014/chart" uri="{C3380CC4-5D6E-409C-BE32-E72D297353CC}">
                  <c16:uniqueId val="{00000027-F675-42DF-8F25-E5B439B65E7F}"/>
                </c:ext>
              </c:extLst>
            </c:dLbl>
            <c:dLbl>
              <c:idx val="20"/>
              <c:delete val="1"/>
              <c:extLst>
                <c:ext xmlns:c15="http://schemas.microsoft.com/office/drawing/2012/chart" uri="{CE6537A1-D6FC-4f65-9D91-7224C49458BB}"/>
                <c:ext xmlns:c16="http://schemas.microsoft.com/office/drawing/2014/chart" uri="{C3380CC4-5D6E-409C-BE32-E72D297353CC}">
                  <c16:uniqueId val="{00000029-F675-42DF-8F25-E5B439B65E7F}"/>
                </c:ext>
              </c:extLst>
            </c:dLbl>
            <c:dLbl>
              <c:idx val="21"/>
              <c:delete val="1"/>
              <c:extLst>
                <c:ext xmlns:c15="http://schemas.microsoft.com/office/drawing/2012/chart" uri="{CE6537A1-D6FC-4f65-9D91-7224C49458BB}"/>
                <c:ext xmlns:c16="http://schemas.microsoft.com/office/drawing/2014/chart" uri="{C3380CC4-5D6E-409C-BE32-E72D297353CC}">
                  <c16:uniqueId val="{0000002B-F675-42DF-8F25-E5B439B65E7F}"/>
                </c:ext>
              </c:extLst>
            </c:dLbl>
            <c:dLbl>
              <c:idx val="22"/>
              <c:layout>
                <c:manualLayout>
                  <c:x val="-0.1078380914365944"/>
                  <c:y val="0.16047963614506855"/>
                </c:manualLayout>
              </c:layout>
              <c:tx>
                <c:rich>
                  <a:bodyPr/>
                  <a:lstStyle/>
                  <a:p>
                    <a:fld id="{9638ADA1-12C8-479A-BE3C-B1C543A0A34B}"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D-F675-42DF-8F25-E5B439B65E7F}"/>
                </c:ext>
              </c:extLst>
            </c:dLbl>
            <c:dLbl>
              <c:idx val="23"/>
              <c:layout>
                <c:manualLayout>
                  <c:x val="-8.1378174756189303E-2"/>
                  <c:y val="0.13908235132572608"/>
                </c:manualLayout>
              </c:layout>
              <c:tx>
                <c:rich>
                  <a:bodyPr/>
                  <a:lstStyle/>
                  <a:p>
                    <a:fld id="{62654021-89B6-4471-A6D2-730D4B073B6B}"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F-F675-42DF-8F25-E5B439B65E7F}"/>
                </c:ext>
              </c:extLst>
            </c:dLbl>
            <c:dLbl>
              <c:idx val="24"/>
              <c:delete val="1"/>
              <c:extLst>
                <c:ext xmlns:c15="http://schemas.microsoft.com/office/drawing/2012/chart" uri="{CE6537A1-D6FC-4f65-9D91-7224C49458BB}"/>
                <c:ext xmlns:c16="http://schemas.microsoft.com/office/drawing/2014/chart" uri="{C3380CC4-5D6E-409C-BE32-E72D297353CC}">
                  <c16:uniqueId val="{00000031-F675-42DF-8F25-E5B439B65E7F}"/>
                </c:ext>
              </c:extLst>
            </c:dLbl>
            <c:dLbl>
              <c:idx val="25"/>
              <c:layout>
                <c:manualLayout>
                  <c:x val="-1.9290398508438875E-2"/>
                  <c:y val="0.16850361795232197"/>
                </c:manualLayout>
              </c:layout>
              <c:tx>
                <c:rich>
                  <a:bodyPr/>
                  <a:lstStyle/>
                  <a:p>
                    <a:fld id="{952F197C-7C69-4174-BCF9-CD2C2649CCB6}"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3-F675-42DF-8F25-E5B439B65E7F}"/>
                </c:ext>
              </c:extLst>
            </c:dLbl>
            <c:dLbl>
              <c:idx val="26"/>
              <c:delete val="1"/>
              <c:extLst>
                <c:ext xmlns:c15="http://schemas.microsoft.com/office/drawing/2012/chart" uri="{CE6537A1-D6FC-4f65-9D91-7224C49458BB}"/>
                <c:ext xmlns:c16="http://schemas.microsoft.com/office/drawing/2014/chart" uri="{C3380CC4-5D6E-409C-BE32-E72D297353CC}">
                  <c16:uniqueId val="{00000035-F675-42DF-8F25-E5B439B65E7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'Figure 13 a)'!$F$2:$F$28</c:f>
              <c:numCache>
                <c:formatCode>0.0</c:formatCode>
                <c:ptCount val="27"/>
                <c:pt idx="0">
                  <c:v>-0.75239639999999997</c:v>
                </c:pt>
                <c:pt idx="1">
                  <c:v>0.66323416999999996</c:v>
                </c:pt>
                <c:pt idx="2">
                  <c:v>-0.95714544999999995</c:v>
                </c:pt>
                <c:pt idx="3">
                  <c:v>0.70708293</c:v>
                </c:pt>
                <c:pt idx="4">
                  <c:v>0.33316505000000002</c:v>
                </c:pt>
                <c:pt idx="5">
                  <c:v>2.3140589999999999</c:v>
                </c:pt>
                <c:pt idx="6">
                  <c:v>-0.78102762000000003</c:v>
                </c:pt>
                <c:pt idx="7">
                  <c:v>-0.65287225999999998</c:v>
                </c:pt>
                <c:pt idx="8">
                  <c:v>2.9684960999999999</c:v>
                </c:pt>
                <c:pt idx="9">
                  <c:v>-0.37539718</c:v>
                </c:pt>
                <c:pt idx="10">
                  <c:v>0.57433003000000005</c:v>
                </c:pt>
                <c:pt idx="11">
                  <c:v>-0.12082337999999999</c:v>
                </c:pt>
                <c:pt idx="12">
                  <c:v>-1.1688159</c:v>
                </c:pt>
                <c:pt idx="13">
                  <c:v>0.65565686999999995</c:v>
                </c:pt>
                <c:pt idx="14">
                  <c:v>1.6797116999999999</c:v>
                </c:pt>
                <c:pt idx="15">
                  <c:v>-0.51094746999999996</c:v>
                </c:pt>
                <c:pt idx="16">
                  <c:v>-0.45209500000000002</c:v>
                </c:pt>
                <c:pt idx="17">
                  <c:v>1.4629247000000001</c:v>
                </c:pt>
                <c:pt idx="18">
                  <c:v>0.1191942</c:v>
                </c:pt>
                <c:pt idx="19">
                  <c:v>0.13197428</c:v>
                </c:pt>
                <c:pt idx="20">
                  <c:v>-0.33102235000000002</c:v>
                </c:pt>
                <c:pt idx="21">
                  <c:v>-0.47009825999999999</c:v>
                </c:pt>
                <c:pt idx="22">
                  <c:v>1.0158551</c:v>
                </c:pt>
                <c:pt idx="23">
                  <c:v>2.3033847999999999</c:v>
                </c:pt>
                <c:pt idx="24">
                  <c:v>-1.1181681999999999</c:v>
                </c:pt>
                <c:pt idx="25">
                  <c:v>-0.21309020000000001</c:v>
                </c:pt>
                <c:pt idx="26">
                  <c:v>6.0537010000000002E-2</c:v>
                </c:pt>
              </c:numCache>
            </c:numRef>
          </c:xVal>
          <c:yVal>
            <c:numRef>
              <c:f>'Figure 13 a)'!$E$2:$E$28</c:f>
              <c:numCache>
                <c:formatCode>0.0</c:formatCode>
                <c:ptCount val="27"/>
                <c:pt idx="0">
                  <c:v>-6.6444463999999996</c:v>
                </c:pt>
                <c:pt idx="1">
                  <c:v>1.4524295</c:v>
                </c:pt>
                <c:pt idx="2">
                  <c:v>-1.1724026000000001</c:v>
                </c:pt>
                <c:pt idx="3">
                  <c:v>-0.78264487000000005</c:v>
                </c:pt>
                <c:pt idx="4">
                  <c:v>2.5052078</c:v>
                </c:pt>
                <c:pt idx="5">
                  <c:v>-0.43097454000000002</c:v>
                </c:pt>
                <c:pt idx="6">
                  <c:v>1.1422752</c:v>
                </c:pt>
                <c:pt idx="7">
                  <c:v>4.0830802999999998</c:v>
                </c:pt>
                <c:pt idx="8">
                  <c:v>-0.12218333000000001</c:v>
                </c:pt>
                <c:pt idx="9">
                  <c:v>-3.4518200999999999</c:v>
                </c:pt>
                <c:pt idx="10">
                  <c:v>2.3051979999999999</c:v>
                </c:pt>
                <c:pt idx="11">
                  <c:v>-0.95972442999999996</c:v>
                </c:pt>
                <c:pt idx="12">
                  <c:v>3.1882548000000002</c:v>
                </c:pt>
                <c:pt idx="13">
                  <c:v>-1.6859953000000001</c:v>
                </c:pt>
                <c:pt idx="14">
                  <c:v>0.40515806999999998</c:v>
                </c:pt>
                <c:pt idx="15">
                  <c:v>-0.70634710999999994</c:v>
                </c:pt>
                <c:pt idx="16">
                  <c:v>-0.24851719</c:v>
                </c:pt>
                <c:pt idx="17">
                  <c:v>0.51602011999999997</c:v>
                </c:pt>
                <c:pt idx="18">
                  <c:v>0.42763259999999997</c:v>
                </c:pt>
                <c:pt idx="19">
                  <c:v>1.872898</c:v>
                </c:pt>
                <c:pt idx="20">
                  <c:v>-0.94469093999999998</c:v>
                </c:pt>
                <c:pt idx="21">
                  <c:v>-5.8739565000000001E-2</c:v>
                </c:pt>
                <c:pt idx="22">
                  <c:v>-1.5110414000000001</c:v>
                </c:pt>
                <c:pt idx="23">
                  <c:v>0.13418226</c:v>
                </c:pt>
                <c:pt idx="24">
                  <c:v>-0.34571740000000001</c:v>
                </c:pt>
                <c:pt idx="25">
                  <c:v>0.63232553000000002</c:v>
                </c:pt>
                <c:pt idx="26">
                  <c:v>6.9556146999999999E-2</c:v>
                </c:pt>
              </c:numCache>
            </c:numRef>
          </c:yVal>
          <c:bubbleSize>
            <c:numRef>
              <c:f>'Figure 13 a)'!$D$2:$D$28</c:f>
              <c:numCache>
                <c:formatCode>0.0</c:formatCode>
                <c:ptCount val="27"/>
                <c:pt idx="0">
                  <c:v>0.238777054808332</c:v>
                </c:pt>
                <c:pt idx="1">
                  <c:v>0.133211969453747</c:v>
                </c:pt>
                <c:pt idx="2">
                  <c:v>7.1935181797066594E-2</c:v>
                </c:pt>
                <c:pt idx="3">
                  <c:v>0.101086946602346</c:v>
                </c:pt>
                <c:pt idx="4">
                  <c:v>0.121779056311447</c:v>
                </c:pt>
                <c:pt idx="5">
                  <c:v>1.40733723546467E-2</c:v>
                </c:pt>
                <c:pt idx="6">
                  <c:v>5.4060454873155202E-2</c:v>
                </c:pt>
                <c:pt idx="7">
                  <c:v>0.26159945975018101</c:v>
                </c:pt>
                <c:pt idx="8">
                  <c:v>3.4765040490769999E-3</c:v>
                </c:pt>
                <c:pt idx="9">
                  <c:v>5.5199340754907102E-2</c:v>
                </c:pt>
                <c:pt idx="10">
                  <c:v>0.18288758151414</c:v>
                </c:pt>
                <c:pt idx="11">
                  <c:v>7.9471324209581307E-2</c:v>
                </c:pt>
                <c:pt idx="12">
                  <c:v>0.22189883291808099</c:v>
                </c:pt>
                <c:pt idx="13">
                  <c:v>9.1690912007084804E-2</c:v>
                </c:pt>
                <c:pt idx="14">
                  <c:v>2.9749890974356E-2</c:v>
                </c:pt>
                <c:pt idx="15">
                  <c:v>7.7014992128789594E-2</c:v>
                </c:pt>
                <c:pt idx="16">
                  <c:v>0.23679540815767999</c:v>
                </c:pt>
                <c:pt idx="17">
                  <c:v>1.3132182658848199E-2</c:v>
                </c:pt>
                <c:pt idx="18">
                  <c:v>1.5498200921567101E-2</c:v>
                </c:pt>
                <c:pt idx="19">
                  <c:v>0.18471123178481499</c:v>
                </c:pt>
                <c:pt idx="20">
                  <c:v>8.5770160099652104E-2</c:v>
                </c:pt>
                <c:pt idx="21">
                  <c:v>0.22293285124067999</c:v>
                </c:pt>
                <c:pt idx="22">
                  <c:v>0.109617593371015</c:v>
                </c:pt>
                <c:pt idx="23">
                  <c:v>4.7967646922229996E-3</c:v>
                </c:pt>
                <c:pt idx="24">
                  <c:v>0.12759422684112201</c:v>
                </c:pt>
                <c:pt idx="25">
                  <c:v>0.232178781344622</c:v>
                </c:pt>
                <c:pt idx="26">
                  <c:v>5.9567587398299E-3</c:v>
                </c:pt>
              </c:numCache>
            </c:numRef>
          </c:bubbleSize>
          <c:bubble3D val="0"/>
          <c:extLst>
            <c:ext xmlns:c15="http://schemas.microsoft.com/office/drawing/2012/chart" uri="{02D57815-91ED-43cb-92C2-25804820EDAC}">
              <c15:datalabelsRange>
                <c15:f>'Figure 13 a)'!$B$2:$B$28</c15:f>
                <c15:dlblRangeCache>
                  <c:ptCount val="27"/>
                  <c:pt idx="0">
                    <c:v>Agriculture</c:v>
                  </c:pt>
                  <c:pt idx="1">
                    <c:v>Transport, Communications, Finance and Real Estate</c:v>
                  </c:pt>
                  <c:pt idx="2">
                    <c:v>Construction</c:v>
                  </c:pt>
                  <c:pt idx="3">
                    <c:v>Government, Health and Education</c:v>
                  </c:pt>
                  <c:pt idx="4">
                    <c:v>Manufacturing</c:v>
                  </c:pt>
                  <c:pt idx="5">
                    <c:v>Mining</c:v>
                  </c:pt>
                  <c:pt idx="6">
                    <c:v>Other</c:v>
                  </c:pt>
                  <c:pt idx="7">
                    <c:v>Retail and Hospitality</c:v>
                  </c:pt>
                  <c:pt idx="8">
                    <c:v>Utilities</c:v>
                  </c:pt>
                  <c:pt idx="9">
                    <c:v>Agriculture</c:v>
                  </c:pt>
                  <c:pt idx="10">
                    <c:v>Transport, Communications, Finance and Real Estate</c:v>
                  </c:pt>
                  <c:pt idx="11">
                    <c:v>Construction</c:v>
                  </c:pt>
                  <c:pt idx="12">
                    <c:v>Government, Health and Education</c:v>
                  </c:pt>
                  <c:pt idx="13">
                    <c:v>Manufacturing</c:v>
                  </c:pt>
                  <c:pt idx="14">
                    <c:v>Mining</c:v>
                  </c:pt>
                  <c:pt idx="15">
                    <c:v>Other</c:v>
                  </c:pt>
                  <c:pt idx="16">
                    <c:v>Retail and Hospitality</c:v>
                  </c:pt>
                  <c:pt idx="17">
                    <c:v>Utilities</c:v>
                  </c:pt>
                  <c:pt idx="18">
                    <c:v>Agriculture</c:v>
                  </c:pt>
                  <c:pt idx="19">
                    <c:v>Transport, Communications, Finance and Real Estate</c:v>
                  </c:pt>
                  <c:pt idx="20">
                    <c:v>Construction</c:v>
                  </c:pt>
                  <c:pt idx="21">
                    <c:v>Government, Health and Education</c:v>
                  </c:pt>
                  <c:pt idx="22">
                    <c:v>Manufacturing</c:v>
                  </c:pt>
                  <c:pt idx="23">
                    <c:v>Mining</c:v>
                  </c:pt>
                  <c:pt idx="24">
                    <c:v>Other</c:v>
                  </c:pt>
                  <c:pt idx="25">
                    <c:v>Retail and Hospitality</c:v>
                  </c:pt>
                  <c:pt idx="26">
                    <c:v>Utilities</c:v>
                  </c:pt>
                </c15:dlblRangeCache>
              </c15:datalabelsRange>
            </c:ext>
            <c:ext xmlns:c16="http://schemas.microsoft.com/office/drawing/2014/chart" uri="{C3380CC4-5D6E-409C-BE32-E72D297353CC}">
              <c16:uniqueId val="{00000036-F675-42DF-8F25-E5B439B65E7F}"/>
            </c:ext>
          </c:extLst>
        </c:ser>
        <c:dLbls>
          <c:showLegendKey val="0"/>
          <c:showVal val="0"/>
          <c:showCatName val="0"/>
          <c:showSerName val="0"/>
          <c:showPercent val="0"/>
          <c:showBubbleSize val="0"/>
        </c:dLbls>
        <c:bubbleScale val="100"/>
        <c:showNegBubbles val="0"/>
        <c:axId val="1962509232"/>
        <c:axId val="216866560"/>
      </c:bubbleChart>
      <c:valAx>
        <c:axId val="1962509232"/>
        <c:scaling>
          <c:orientation val="minMax"/>
          <c:min val="-3"/>
        </c:scaling>
        <c:delete val="0"/>
        <c:axPos val="b"/>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00" b="0" i="0" u="none" strike="noStrike" kern="1200" baseline="0">
                    <a:solidFill>
                      <a:sysClr val="windowText" lastClr="000000">
                        <a:lumMod val="50000"/>
                        <a:lumOff val="50000"/>
                      </a:sysClr>
                    </a:solidFill>
                    <a:latin typeface="+mn-lt"/>
                    <a:ea typeface="+mn-ea"/>
                    <a:cs typeface="+mn-cs"/>
                  </a:defRPr>
                </a:pPr>
                <a:r>
                  <a:rPr lang="en-US" sz="900" b="0" i="0" u="none" strike="noStrike" kern="1200" baseline="0">
                    <a:solidFill>
                      <a:schemeClr val="tx1"/>
                    </a:solidFill>
                  </a:rPr>
                  <a:t>log(sectoral productivity/total productivity), 2018</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50000"/>
                        <a:lumOff val="50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00" b="0" i="0" u="none" strike="noStrike" kern="1200" baseline="0">
                  <a:solidFill>
                    <a:sysClr val="windowText" lastClr="000000">
                      <a:lumMod val="50000"/>
                      <a:lumOff val="50000"/>
                    </a:sysClr>
                  </a:solidFill>
                  <a:latin typeface="+mn-lt"/>
                  <a:ea typeface="+mn-ea"/>
                  <a:cs typeface="+mn-cs"/>
                </a:defRPr>
              </a:pPr>
              <a:endParaRPr lang="en-US"/>
            </a:p>
          </c:txPr>
        </c:title>
        <c:numFmt formatCode="0.0" sourceLinked="1"/>
        <c:majorTickMark val="none"/>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6866560"/>
        <c:crosses val="autoZero"/>
        <c:crossBetween val="midCat"/>
      </c:valAx>
      <c:valAx>
        <c:axId val="216866560"/>
        <c:scaling>
          <c:orientation val="minMax"/>
          <c:max val="6.5"/>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00" b="0" i="0" u="none" strike="noStrike" kern="1200" baseline="0">
                    <a:solidFill>
                      <a:sysClr val="windowText" lastClr="000000">
                        <a:lumMod val="50000"/>
                        <a:lumOff val="50000"/>
                      </a:sysClr>
                    </a:solidFill>
                    <a:latin typeface="+mn-lt"/>
                    <a:ea typeface="+mn-ea"/>
                    <a:cs typeface="+mn-cs"/>
                  </a:defRPr>
                </a:pPr>
                <a:r>
                  <a:rPr lang="en-US" sz="900" b="0" i="0" u="none" strike="noStrike" kern="1200" baseline="0">
                    <a:solidFill>
                      <a:schemeClr val="tx1"/>
                    </a:solidFill>
                  </a:rPr>
                  <a:t>Employment Share (Change, p.p.)</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50000"/>
                        <a:lumOff val="50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00" b="0" i="0" u="none" strike="noStrike" kern="1200" baseline="0">
                  <a:solidFill>
                    <a:sysClr val="windowText" lastClr="000000">
                      <a:lumMod val="50000"/>
                      <a:lumOff val="50000"/>
                    </a:sysClr>
                  </a:solidFill>
                  <a:latin typeface="+mn-lt"/>
                  <a:ea typeface="+mn-ea"/>
                  <a:cs typeface="+mn-cs"/>
                </a:defRPr>
              </a:pPr>
              <a:endParaRPr lang="en-US"/>
            </a:p>
          </c:txPr>
        </c:title>
        <c:numFmt formatCode="0.0" sourceLinked="1"/>
        <c:majorTickMark val="none"/>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625092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9653472887799986E-2"/>
          <c:y val="1.894926099125524E-2"/>
          <c:w val="0.95308258594680595"/>
          <c:h val="0.9305193763653975"/>
        </c:manualLayout>
      </c:layout>
      <c:bubbleChart>
        <c:varyColors val="0"/>
        <c:ser>
          <c:idx val="0"/>
          <c:order val="0"/>
          <c:spPr>
            <a:noFill/>
            <a:ln w="25400">
              <a:solidFill>
                <a:schemeClr val="accent1">
                  <a:alpha val="70000"/>
                </a:schemeClr>
              </a:solidFill>
            </a:ln>
            <a:effectLst/>
          </c:spPr>
          <c:invertIfNegative val="0"/>
          <c:dPt>
            <c:idx val="0"/>
            <c:invertIfNegative val="0"/>
            <c:bubble3D val="0"/>
            <c:spPr>
              <a:noFill/>
              <a:ln w="19050">
                <a:solidFill>
                  <a:srgbClr val="A02B93"/>
                </a:solidFill>
              </a:ln>
              <a:effectLst/>
            </c:spPr>
            <c:extLst>
              <c:ext xmlns:c16="http://schemas.microsoft.com/office/drawing/2014/chart" uri="{C3380CC4-5D6E-409C-BE32-E72D297353CC}">
                <c16:uniqueId val="{00000001-1A3F-40C3-ABBC-F63E594A4F1B}"/>
              </c:ext>
            </c:extLst>
          </c:dPt>
          <c:dPt>
            <c:idx val="1"/>
            <c:invertIfNegative val="0"/>
            <c:bubble3D val="0"/>
            <c:spPr>
              <a:noFill/>
              <a:ln w="19050">
                <a:solidFill>
                  <a:srgbClr val="A02B93"/>
                </a:solidFill>
              </a:ln>
              <a:effectLst/>
            </c:spPr>
            <c:extLst>
              <c:ext xmlns:c16="http://schemas.microsoft.com/office/drawing/2014/chart" uri="{C3380CC4-5D6E-409C-BE32-E72D297353CC}">
                <c16:uniqueId val="{00000003-1A3F-40C3-ABBC-F63E594A4F1B}"/>
              </c:ext>
            </c:extLst>
          </c:dPt>
          <c:dPt>
            <c:idx val="2"/>
            <c:invertIfNegative val="0"/>
            <c:bubble3D val="0"/>
            <c:spPr>
              <a:noFill/>
              <a:ln w="19050">
                <a:solidFill>
                  <a:srgbClr val="A02B93"/>
                </a:solidFill>
              </a:ln>
              <a:effectLst/>
            </c:spPr>
            <c:extLst>
              <c:ext xmlns:c16="http://schemas.microsoft.com/office/drawing/2014/chart" uri="{C3380CC4-5D6E-409C-BE32-E72D297353CC}">
                <c16:uniqueId val="{00000005-1A3F-40C3-ABBC-F63E594A4F1B}"/>
              </c:ext>
            </c:extLst>
          </c:dPt>
          <c:dPt>
            <c:idx val="3"/>
            <c:invertIfNegative val="0"/>
            <c:bubble3D val="0"/>
            <c:spPr>
              <a:noFill/>
              <a:ln w="19050">
                <a:solidFill>
                  <a:srgbClr val="A02B93"/>
                </a:solidFill>
              </a:ln>
              <a:effectLst/>
            </c:spPr>
            <c:extLst>
              <c:ext xmlns:c16="http://schemas.microsoft.com/office/drawing/2014/chart" uri="{C3380CC4-5D6E-409C-BE32-E72D297353CC}">
                <c16:uniqueId val="{00000007-1A3F-40C3-ABBC-F63E594A4F1B}"/>
              </c:ext>
            </c:extLst>
          </c:dPt>
          <c:dPt>
            <c:idx val="4"/>
            <c:invertIfNegative val="0"/>
            <c:bubble3D val="0"/>
            <c:spPr>
              <a:noFill/>
              <a:ln w="19050">
                <a:solidFill>
                  <a:srgbClr val="A02B93"/>
                </a:solidFill>
              </a:ln>
              <a:effectLst/>
            </c:spPr>
            <c:extLst>
              <c:ext xmlns:c16="http://schemas.microsoft.com/office/drawing/2014/chart" uri="{C3380CC4-5D6E-409C-BE32-E72D297353CC}">
                <c16:uniqueId val="{00000009-1A3F-40C3-ABBC-F63E594A4F1B}"/>
              </c:ext>
            </c:extLst>
          </c:dPt>
          <c:dPt>
            <c:idx val="5"/>
            <c:invertIfNegative val="0"/>
            <c:bubble3D val="0"/>
            <c:spPr>
              <a:noFill/>
              <a:ln w="19050">
                <a:solidFill>
                  <a:srgbClr val="A02B93"/>
                </a:solidFill>
              </a:ln>
              <a:effectLst/>
            </c:spPr>
            <c:extLst>
              <c:ext xmlns:c16="http://schemas.microsoft.com/office/drawing/2014/chart" uri="{C3380CC4-5D6E-409C-BE32-E72D297353CC}">
                <c16:uniqueId val="{0000000B-1A3F-40C3-ABBC-F63E594A4F1B}"/>
              </c:ext>
            </c:extLst>
          </c:dPt>
          <c:dPt>
            <c:idx val="6"/>
            <c:invertIfNegative val="0"/>
            <c:bubble3D val="0"/>
            <c:spPr>
              <a:noFill/>
              <a:ln w="19050">
                <a:solidFill>
                  <a:srgbClr val="A02B93"/>
                </a:solidFill>
              </a:ln>
              <a:effectLst/>
            </c:spPr>
            <c:extLst>
              <c:ext xmlns:c16="http://schemas.microsoft.com/office/drawing/2014/chart" uri="{C3380CC4-5D6E-409C-BE32-E72D297353CC}">
                <c16:uniqueId val="{0000000D-1A3F-40C3-ABBC-F63E594A4F1B}"/>
              </c:ext>
            </c:extLst>
          </c:dPt>
          <c:dPt>
            <c:idx val="7"/>
            <c:invertIfNegative val="0"/>
            <c:bubble3D val="0"/>
            <c:spPr>
              <a:noFill/>
              <a:ln w="19050">
                <a:solidFill>
                  <a:srgbClr val="A02B93"/>
                </a:solidFill>
              </a:ln>
              <a:effectLst/>
            </c:spPr>
            <c:extLst>
              <c:ext xmlns:c16="http://schemas.microsoft.com/office/drawing/2014/chart" uri="{C3380CC4-5D6E-409C-BE32-E72D297353CC}">
                <c16:uniqueId val="{0000000F-1A3F-40C3-ABBC-F63E594A4F1B}"/>
              </c:ext>
            </c:extLst>
          </c:dPt>
          <c:dPt>
            <c:idx val="8"/>
            <c:invertIfNegative val="0"/>
            <c:bubble3D val="0"/>
            <c:spPr>
              <a:noFill/>
              <a:ln w="19050">
                <a:solidFill>
                  <a:srgbClr val="A02B93"/>
                </a:solidFill>
              </a:ln>
              <a:effectLst/>
            </c:spPr>
            <c:extLst>
              <c:ext xmlns:c16="http://schemas.microsoft.com/office/drawing/2014/chart" uri="{C3380CC4-5D6E-409C-BE32-E72D297353CC}">
                <c16:uniqueId val="{00000011-1A3F-40C3-ABBC-F63E594A4F1B}"/>
              </c:ext>
            </c:extLst>
          </c:dPt>
          <c:dPt>
            <c:idx val="9"/>
            <c:invertIfNegative val="0"/>
            <c:bubble3D val="0"/>
            <c:spPr>
              <a:noFill/>
              <a:ln w="19050">
                <a:solidFill>
                  <a:srgbClr val="D9A441"/>
                </a:solidFill>
              </a:ln>
              <a:effectLst/>
            </c:spPr>
            <c:extLst>
              <c:ext xmlns:c16="http://schemas.microsoft.com/office/drawing/2014/chart" uri="{C3380CC4-5D6E-409C-BE32-E72D297353CC}">
                <c16:uniqueId val="{00000013-1A3F-40C3-ABBC-F63E594A4F1B}"/>
              </c:ext>
            </c:extLst>
          </c:dPt>
          <c:dPt>
            <c:idx val="10"/>
            <c:invertIfNegative val="0"/>
            <c:bubble3D val="0"/>
            <c:spPr>
              <a:noFill/>
              <a:ln w="19050">
                <a:solidFill>
                  <a:srgbClr val="D9A441"/>
                </a:solidFill>
              </a:ln>
              <a:effectLst/>
            </c:spPr>
            <c:extLst>
              <c:ext xmlns:c16="http://schemas.microsoft.com/office/drawing/2014/chart" uri="{C3380CC4-5D6E-409C-BE32-E72D297353CC}">
                <c16:uniqueId val="{00000015-1A3F-40C3-ABBC-F63E594A4F1B}"/>
              </c:ext>
            </c:extLst>
          </c:dPt>
          <c:dPt>
            <c:idx val="11"/>
            <c:invertIfNegative val="0"/>
            <c:bubble3D val="0"/>
            <c:spPr>
              <a:noFill/>
              <a:ln w="19050">
                <a:solidFill>
                  <a:srgbClr val="D9A441"/>
                </a:solidFill>
              </a:ln>
              <a:effectLst/>
            </c:spPr>
            <c:extLst>
              <c:ext xmlns:c16="http://schemas.microsoft.com/office/drawing/2014/chart" uri="{C3380CC4-5D6E-409C-BE32-E72D297353CC}">
                <c16:uniqueId val="{00000017-1A3F-40C3-ABBC-F63E594A4F1B}"/>
              </c:ext>
            </c:extLst>
          </c:dPt>
          <c:dPt>
            <c:idx val="12"/>
            <c:invertIfNegative val="0"/>
            <c:bubble3D val="0"/>
            <c:spPr>
              <a:noFill/>
              <a:ln w="19050">
                <a:solidFill>
                  <a:srgbClr val="D9A441"/>
                </a:solidFill>
              </a:ln>
              <a:effectLst/>
            </c:spPr>
            <c:extLst>
              <c:ext xmlns:c16="http://schemas.microsoft.com/office/drawing/2014/chart" uri="{C3380CC4-5D6E-409C-BE32-E72D297353CC}">
                <c16:uniqueId val="{00000019-1A3F-40C3-ABBC-F63E594A4F1B}"/>
              </c:ext>
            </c:extLst>
          </c:dPt>
          <c:dPt>
            <c:idx val="13"/>
            <c:invertIfNegative val="0"/>
            <c:bubble3D val="0"/>
            <c:spPr>
              <a:noFill/>
              <a:ln w="19050">
                <a:solidFill>
                  <a:srgbClr val="D9A441"/>
                </a:solidFill>
              </a:ln>
              <a:effectLst/>
            </c:spPr>
            <c:extLst>
              <c:ext xmlns:c16="http://schemas.microsoft.com/office/drawing/2014/chart" uri="{C3380CC4-5D6E-409C-BE32-E72D297353CC}">
                <c16:uniqueId val="{0000001B-1A3F-40C3-ABBC-F63E594A4F1B}"/>
              </c:ext>
            </c:extLst>
          </c:dPt>
          <c:dPt>
            <c:idx val="14"/>
            <c:invertIfNegative val="0"/>
            <c:bubble3D val="0"/>
            <c:spPr>
              <a:noFill/>
              <a:ln w="19050">
                <a:solidFill>
                  <a:srgbClr val="D9A441"/>
                </a:solidFill>
              </a:ln>
              <a:effectLst/>
            </c:spPr>
            <c:extLst>
              <c:ext xmlns:c16="http://schemas.microsoft.com/office/drawing/2014/chart" uri="{C3380CC4-5D6E-409C-BE32-E72D297353CC}">
                <c16:uniqueId val="{0000001D-1A3F-40C3-ABBC-F63E594A4F1B}"/>
              </c:ext>
            </c:extLst>
          </c:dPt>
          <c:dPt>
            <c:idx val="15"/>
            <c:invertIfNegative val="0"/>
            <c:bubble3D val="0"/>
            <c:spPr>
              <a:noFill/>
              <a:ln w="19050">
                <a:solidFill>
                  <a:srgbClr val="D9A441"/>
                </a:solidFill>
              </a:ln>
              <a:effectLst/>
            </c:spPr>
            <c:extLst>
              <c:ext xmlns:c16="http://schemas.microsoft.com/office/drawing/2014/chart" uri="{C3380CC4-5D6E-409C-BE32-E72D297353CC}">
                <c16:uniqueId val="{0000001F-1A3F-40C3-ABBC-F63E594A4F1B}"/>
              </c:ext>
            </c:extLst>
          </c:dPt>
          <c:dPt>
            <c:idx val="16"/>
            <c:invertIfNegative val="0"/>
            <c:bubble3D val="0"/>
            <c:spPr>
              <a:noFill/>
              <a:ln w="19050">
                <a:solidFill>
                  <a:srgbClr val="D9A441"/>
                </a:solidFill>
              </a:ln>
              <a:effectLst/>
            </c:spPr>
            <c:extLst>
              <c:ext xmlns:c16="http://schemas.microsoft.com/office/drawing/2014/chart" uri="{C3380CC4-5D6E-409C-BE32-E72D297353CC}">
                <c16:uniqueId val="{00000021-1A3F-40C3-ABBC-F63E594A4F1B}"/>
              </c:ext>
            </c:extLst>
          </c:dPt>
          <c:dPt>
            <c:idx val="17"/>
            <c:invertIfNegative val="0"/>
            <c:bubble3D val="0"/>
            <c:spPr>
              <a:noFill/>
              <a:ln w="19050">
                <a:solidFill>
                  <a:srgbClr val="D9A441"/>
                </a:solidFill>
              </a:ln>
              <a:effectLst/>
            </c:spPr>
            <c:extLst>
              <c:ext xmlns:c16="http://schemas.microsoft.com/office/drawing/2014/chart" uri="{C3380CC4-5D6E-409C-BE32-E72D297353CC}">
                <c16:uniqueId val="{00000023-1A3F-40C3-ABBC-F63E594A4F1B}"/>
              </c:ext>
            </c:extLst>
          </c:dPt>
          <c:dPt>
            <c:idx val="18"/>
            <c:invertIfNegative val="0"/>
            <c:bubble3D val="0"/>
            <c:spPr>
              <a:noFill/>
              <a:ln w="19050">
                <a:solidFill>
                  <a:srgbClr val="4EA72E"/>
                </a:solidFill>
              </a:ln>
              <a:effectLst/>
            </c:spPr>
            <c:extLst>
              <c:ext xmlns:c16="http://schemas.microsoft.com/office/drawing/2014/chart" uri="{C3380CC4-5D6E-409C-BE32-E72D297353CC}">
                <c16:uniqueId val="{00000025-1A3F-40C3-ABBC-F63E594A4F1B}"/>
              </c:ext>
            </c:extLst>
          </c:dPt>
          <c:dPt>
            <c:idx val="19"/>
            <c:invertIfNegative val="0"/>
            <c:bubble3D val="0"/>
            <c:spPr>
              <a:noFill/>
              <a:ln w="19050">
                <a:solidFill>
                  <a:srgbClr val="4EA72E"/>
                </a:solidFill>
              </a:ln>
              <a:effectLst/>
            </c:spPr>
            <c:extLst>
              <c:ext xmlns:c16="http://schemas.microsoft.com/office/drawing/2014/chart" uri="{C3380CC4-5D6E-409C-BE32-E72D297353CC}">
                <c16:uniqueId val="{00000027-1A3F-40C3-ABBC-F63E594A4F1B}"/>
              </c:ext>
            </c:extLst>
          </c:dPt>
          <c:dPt>
            <c:idx val="20"/>
            <c:invertIfNegative val="0"/>
            <c:bubble3D val="0"/>
            <c:spPr>
              <a:noFill/>
              <a:ln w="19050">
                <a:solidFill>
                  <a:srgbClr val="4EA72E"/>
                </a:solidFill>
              </a:ln>
              <a:effectLst/>
            </c:spPr>
            <c:extLst>
              <c:ext xmlns:c16="http://schemas.microsoft.com/office/drawing/2014/chart" uri="{C3380CC4-5D6E-409C-BE32-E72D297353CC}">
                <c16:uniqueId val="{00000029-1A3F-40C3-ABBC-F63E594A4F1B}"/>
              </c:ext>
            </c:extLst>
          </c:dPt>
          <c:dPt>
            <c:idx val="21"/>
            <c:invertIfNegative val="0"/>
            <c:bubble3D val="0"/>
            <c:spPr>
              <a:noFill/>
              <a:ln w="19050">
                <a:solidFill>
                  <a:srgbClr val="4EA72E"/>
                </a:solidFill>
              </a:ln>
              <a:effectLst/>
            </c:spPr>
            <c:extLst>
              <c:ext xmlns:c16="http://schemas.microsoft.com/office/drawing/2014/chart" uri="{C3380CC4-5D6E-409C-BE32-E72D297353CC}">
                <c16:uniqueId val="{0000002B-1A3F-40C3-ABBC-F63E594A4F1B}"/>
              </c:ext>
            </c:extLst>
          </c:dPt>
          <c:dPt>
            <c:idx val="22"/>
            <c:invertIfNegative val="0"/>
            <c:bubble3D val="0"/>
            <c:spPr>
              <a:noFill/>
              <a:ln w="19050">
                <a:solidFill>
                  <a:srgbClr val="4EA72E"/>
                </a:solidFill>
              </a:ln>
              <a:effectLst/>
            </c:spPr>
            <c:extLst>
              <c:ext xmlns:c16="http://schemas.microsoft.com/office/drawing/2014/chart" uri="{C3380CC4-5D6E-409C-BE32-E72D297353CC}">
                <c16:uniqueId val="{0000002D-1A3F-40C3-ABBC-F63E594A4F1B}"/>
              </c:ext>
            </c:extLst>
          </c:dPt>
          <c:dPt>
            <c:idx val="23"/>
            <c:invertIfNegative val="0"/>
            <c:bubble3D val="0"/>
            <c:spPr>
              <a:noFill/>
              <a:ln w="19050">
                <a:solidFill>
                  <a:srgbClr val="4EA72E"/>
                </a:solidFill>
              </a:ln>
              <a:effectLst/>
            </c:spPr>
            <c:extLst>
              <c:ext xmlns:c16="http://schemas.microsoft.com/office/drawing/2014/chart" uri="{C3380CC4-5D6E-409C-BE32-E72D297353CC}">
                <c16:uniqueId val="{0000002F-1A3F-40C3-ABBC-F63E594A4F1B}"/>
              </c:ext>
            </c:extLst>
          </c:dPt>
          <c:dPt>
            <c:idx val="24"/>
            <c:invertIfNegative val="0"/>
            <c:bubble3D val="0"/>
            <c:spPr>
              <a:noFill/>
              <a:ln w="19050">
                <a:solidFill>
                  <a:srgbClr val="4EA72E"/>
                </a:solidFill>
              </a:ln>
              <a:effectLst/>
            </c:spPr>
            <c:extLst>
              <c:ext xmlns:c16="http://schemas.microsoft.com/office/drawing/2014/chart" uri="{C3380CC4-5D6E-409C-BE32-E72D297353CC}">
                <c16:uniqueId val="{00000031-1A3F-40C3-ABBC-F63E594A4F1B}"/>
              </c:ext>
            </c:extLst>
          </c:dPt>
          <c:dPt>
            <c:idx val="25"/>
            <c:invertIfNegative val="0"/>
            <c:bubble3D val="0"/>
            <c:spPr>
              <a:noFill/>
              <a:ln w="19050">
                <a:solidFill>
                  <a:srgbClr val="4EA72E"/>
                </a:solidFill>
              </a:ln>
              <a:effectLst/>
            </c:spPr>
            <c:extLst>
              <c:ext xmlns:c16="http://schemas.microsoft.com/office/drawing/2014/chart" uri="{C3380CC4-5D6E-409C-BE32-E72D297353CC}">
                <c16:uniqueId val="{00000033-1A3F-40C3-ABBC-F63E594A4F1B}"/>
              </c:ext>
            </c:extLst>
          </c:dPt>
          <c:dPt>
            <c:idx val="26"/>
            <c:invertIfNegative val="0"/>
            <c:bubble3D val="0"/>
            <c:spPr>
              <a:noFill/>
              <a:ln w="19050">
                <a:solidFill>
                  <a:srgbClr val="4EA72E"/>
                </a:solidFill>
              </a:ln>
              <a:effectLst/>
            </c:spPr>
            <c:extLst>
              <c:ext xmlns:c16="http://schemas.microsoft.com/office/drawing/2014/chart" uri="{C3380CC4-5D6E-409C-BE32-E72D297353CC}">
                <c16:uniqueId val="{00000035-1A3F-40C3-ABBC-F63E594A4F1B}"/>
              </c:ext>
            </c:extLst>
          </c:dPt>
          <c:dLbls>
            <c:dLbl>
              <c:idx val="0"/>
              <c:delete val="1"/>
              <c:extLst>
                <c:ext xmlns:c15="http://schemas.microsoft.com/office/drawing/2012/chart" uri="{CE6537A1-D6FC-4f65-9D91-7224C49458BB}"/>
                <c:ext xmlns:c16="http://schemas.microsoft.com/office/drawing/2014/chart" uri="{C3380CC4-5D6E-409C-BE32-E72D297353CC}">
                  <c16:uniqueId val="{00000001-1A3F-40C3-ABBC-F63E594A4F1B}"/>
                </c:ext>
              </c:extLst>
            </c:dLbl>
            <c:dLbl>
              <c:idx val="1"/>
              <c:delete val="1"/>
              <c:extLst>
                <c:ext xmlns:c15="http://schemas.microsoft.com/office/drawing/2012/chart" uri="{CE6537A1-D6FC-4f65-9D91-7224C49458BB}"/>
                <c:ext xmlns:c16="http://schemas.microsoft.com/office/drawing/2014/chart" uri="{C3380CC4-5D6E-409C-BE32-E72D297353CC}">
                  <c16:uniqueId val="{00000003-1A3F-40C3-ABBC-F63E594A4F1B}"/>
                </c:ext>
              </c:extLst>
            </c:dLbl>
            <c:dLbl>
              <c:idx val="2"/>
              <c:delete val="1"/>
              <c:extLst>
                <c:ext xmlns:c15="http://schemas.microsoft.com/office/drawing/2012/chart" uri="{CE6537A1-D6FC-4f65-9D91-7224C49458BB}"/>
                <c:ext xmlns:c16="http://schemas.microsoft.com/office/drawing/2014/chart" uri="{C3380CC4-5D6E-409C-BE32-E72D297353CC}">
                  <c16:uniqueId val="{00000005-1A3F-40C3-ABBC-F63E594A4F1B}"/>
                </c:ext>
              </c:extLst>
            </c:dLbl>
            <c:dLbl>
              <c:idx val="3"/>
              <c:delete val="1"/>
              <c:extLst>
                <c:ext xmlns:c15="http://schemas.microsoft.com/office/drawing/2012/chart" uri="{CE6537A1-D6FC-4f65-9D91-7224C49458BB}"/>
                <c:ext xmlns:c16="http://schemas.microsoft.com/office/drawing/2014/chart" uri="{C3380CC4-5D6E-409C-BE32-E72D297353CC}">
                  <c16:uniqueId val="{00000007-1A3F-40C3-ABBC-F63E594A4F1B}"/>
                </c:ext>
              </c:extLst>
            </c:dLbl>
            <c:dLbl>
              <c:idx val="4"/>
              <c:layout>
                <c:manualLayout>
                  <c:x val="-5.8788191821803649E-2"/>
                  <c:y val="0.12948661677357748"/>
                </c:manualLayout>
              </c:layout>
              <c:tx>
                <c:rich>
                  <a:bodyPr/>
                  <a:lstStyle/>
                  <a:p>
                    <a:fld id="{04F11DC6-8807-45DB-9963-8D409D55E8AC}"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1A3F-40C3-ABBC-F63E594A4F1B}"/>
                </c:ext>
              </c:extLst>
            </c:dLbl>
            <c:dLbl>
              <c:idx val="5"/>
              <c:layout>
                <c:manualLayout>
                  <c:x val="-1.3531939407713625E-2"/>
                  <c:y val="7.3621747230745549E-2"/>
                </c:manualLayout>
              </c:layout>
              <c:tx>
                <c:rich>
                  <a:bodyPr/>
                  <a:lstStyle/>
                  <a:p>
                    <a:fld id="{A9BDD217-B4F9-4ACE-9B92-31A71B00AB8B}"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1A3F-40C3-ABBC-F63E594A4F1B}"/>
                </c:ext>
              </c:extLst>
            </c:dLbl>
            <c:dLbl>
              <c:idx val="6"/>
              <c:delete val="1"/>
              <c:extLst>
                <c:ext xmlns:c15="http://schemas.microsoft.com/office/drawing/2012/chart" uri="{CE6537A1-D6FC-4f65-9D91-7224C49458BB}"/>
                <c:ext xmlns:c16="http://schemas.microsoft.com/office/drawing/2014/chart" uri="{C3380CC4-5D6E-409C-BE32-E72D297353CC}">
                  <c16:uniqueId val="{0000000D-1A3F-40C3-ABBC-F63E594A4F1B}"/>
                </c:ext>
              </c:extLst>
            </c:dLbl>
            <c:dLbl>
              <c:idx val="7"/>
              <c:delete val="1"/>
              <c:extLst>
                <c:ext xmlns:c15="http://schemas.microsoft.com/office/drawing/2012/chart" uri="{CE6537A1-D6FC-4f65-9D91-7224C49458BB}"/>
                <c:ext xmlns:c16="http://schemas.microsoft.com/office/drawing/2014/chart" uri="{C3380CC4-5D6E-409C-BE32-E72D297353CC}">
                  <c16:uniqueId val="{0000000F-1A3F-40C3-ABBC-F63E594A4F1B}"/>
                </c:ext>
              </c:extLst>
            </c:dLbl>
            <c:dLbl>
              <c:idx val="8"/>
              <c:delete val="1"/>
              <c:extLst>
                <c:ext xmlns:c15="http://schemas.microsoft.com/office/drawing/2012/chart" uri="{CE6537A1-D6FC-4f65-9D91-7224C49458BB}"/>
                <c:ext xmlns:c16="http://schemas.microsoft.com/office/drawing/2014/chart" uri="{C3380CC4-5D6E-409C-BE32-E72D297353CC}">
                  <c16:uniqueId val="{00000011-1A3F-40C3-ABBC-F63E594A4F1B}"/>
                </c:ext>
              </c:extLst>
            </c:dLbl>
            <c:dLbl>
              <c:idx val="9"/>
              <c:layout>
                <c:manualLayout>
                  <c:x val="-0.17815528819605325"/>
                  <c:y val="-4.4214942312928891E-2"/>
                </c:manualLayout>
              </c:layout>
              <c:tx>
                <c:rich>
                  <a:bodyPr/>
                  <a:lstStyle/>
                  <a:p>
                    <a:fld id="{BB0F1E85-A49B-45E8-90CB-15AD231AD30D}"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1A3F-40C3-ABBC-F63E594A4F1B}"/>
                </c:ext>
              </c:extLst>
            </c:dLbl>
            <c:dLbl>
              <c:idx val="10"/>
              <c:layout>
                <c:manualLayout>
                  <c:x val="4.5886589405723537E-2"/>
                  <c:y val="1.0080812449085086E-4"/>
                </c:manualLayout>
              </c:layout>
              <c:tx>
                <c:rich>
                  <a:bodyPr/>
                  <a:lstStyle/>
                  <a:p>
                    <a:fld id="{4AF1699D-63CA-4B35-87D5-C6C71916F01F}"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1A3F-40C3-ABBC-F63E594A4F1B}"/>
                </c:ext>
              </c:extLst>
            </c:dLbl>
            <c:dLbl>
              <c:idx val="11"/>
              <c:layout>
                <c:manualLayout>
                  <c:x val="1.7520871813425241E-2"/>
                  <c:y val="0.14527766759962349"/>
                </c:manualLayout>
              </c:layout>
              <c:tx>
                <c:rich>
                  <a:bodyPr/>
                  <a:lstStyle/>
                  <a:p>
                    <a:fld id="{60AAA20E-28EF-42C0-851C-4AC8CB17977A}"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1A3F-40C3-ABBC-F63E594A4F1B}"/>
                </c:ext>
              </c:extLst>
            </c:dLbl>
            <c:dLbl>
              <c:idx val="12"/>
              <c:layout>
                <c:manualLayout>
                  <c:x val="1.6217037594157779E-2"/>
                  <c:y val="0.17832796967555264"/>
                </c:manualLayout>
              </c:layout>
              <c:tx>
                <c:rich>
                  <a:bodyPr/>
                  <a:lstStyle/>
                  <a:p>
                    <a:fld id="{56833F4C-A49B-4F29-A2EE-3F42CE47DC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1A3F-40C3-ABBC-F63E594A4F1B}"/>
                </c:ext>
              </c:extLst>
            </c:dLbl>
            <c:dLbl>
              <c:idx val="13"/>
              <c:delete val="1"/>
              <c:extLst>
                <c:ext xmlns:c15="http://schemas.microsoft.com/office/drawing/2012/chart" uri="{CE6537A1-D6FC-4f65-9D91-7224C49458BB}"/>
                <c:ext xmlns:c16="http://schemas.microsoft.com/office/drawing/2014/chart" uri="{C3380CC4-5D6E-409C-BE32-E72D297353CC}">
                  <c16:uniqueId val="{0000001B-1A3F-40C3-ABBC-F63E594A4F1B}"/>
                </c:ext>
              </c:extLst>
            </c:dLbl>
            <c:dLbl>
              <c:idx val="14"/>
              <c:delete val="1"/>
              <c:extLst>
                <c:ext xmlns:c15="http://schemas.microsoft.com/office/drawing/2012/chart" uri="{CE6537A1-D6FC-4f65-9D91-7224C49458BB}"/>
                <c:ext xmlns:c16="http://schemas.microsoft.com/office/drawing/2014/chart" uri="{C3380CC4-5D6E-409C-BE32-E72D297353CC}">
                  <c16:uniqueId val="{0000001D-1A3F-40C3-ABBC-F63E594A4F1B}"/>
                </c:ext>
              </c:extLst>
            </c:dLbl>
            <c:dLbl>
              <c:idx val="15"/>
              <c:delete val="1"/>
              <c:extLst>
                <c:ext xmlns:c15="http://schemas.microsoft.com/office/drawing/2012/chart" uri="{CE6537A1-D6FC-4f65-9D91-7224C49458BB}"/>
                <c:ext xmlns:c16="http://schemas.microsoft.com/office/drawing/2014/chart" uri="{C3380CC4-5D6E-409C-BE32-E72D297353CC}">
                  <c16:uniqueId val="{0000001F-1A3F-40C3-ABBC-F63E594A4F1B}"/>
                </c:ext>
              </c:extLst>
            </c:dLbl>
            <c:dLbl>
              <c:idx val="16"/>
              <c:delete val="1"/>
              <c:extLst>
                <c:ext xmlns:c15="http://schemas.microsoft.com/office/drawing/2012/chart" uri="{CE6537A1-D6FC-4f65-9D91-7224C49458BB}"/>
                <c:ext xmlns:c16="http://schemas.microsoft.com/office/drawing/2014/chart" uri="{C3380CC4-5D6E-409C-BE32-E72D297353CC}">
                  <c16:uniqueId val="{00000021-1A3F-40C3-ABBC-F63E594A4F1B}"/>
                </c:ext>
              </c:extLst>
            </c:dLbl>
            <c:dLbl>
              <c:idx val="17"/>
              <c:delete val="1"/>
              <c:extLst>
                <c:ext xmlns:c15="http://schemas.microsoft.com/office/drawing/2012/chart" uri="{CE6537A1-D6FC-4f65-9D91-7224C49458BB}"/>
                <c:ext xmlns:c16="http://schemas.microsoft.com/office/drawing/2014/chart" uri="{C3380CC4-5D6E-409C-BE32-E72D297353CC}">
                  <c16:uniqueId val="{00000023-1A3F-40C3-ABBC-F63E594A4F1B}"/>
                </c:ext>
              </c:extLst>
            </c:dLbl>
            <c:dLbl>
              <c:idx val="18"/>
              <c:delete val="1"/>
              <c:extLst>
                <c:ext xmlns:c15="http://schemas.microsoft.com/office/drawing/2012/chart" uri="{CE6537A1-D6FC-4f65-9D91-7224C49458BB}"/>
                <c:ext xmlns:c16="http://schemas.microsoft.com/office/drawing/2014/chart" uri="{C3380CC4-5D6E-409C-BE32-E72D297353CC}">
                  <c16:uniqueId val="{00000025-1A3F-40C3-ABBC-F63E594A4F1B}"/>
                </c:ext>
              </c:extLst>
            </c:dLbl>
            <c:dLbl>
              <c:idx val="19"/>
              <c:delete val="1"/>
              <c:extLst>
                <c:ext xmlns:c15="http://schemas.microsoft.com/office/drawing/2012/chart" uri="{CE6537A1-D6FC-4f65-9D91-7224C49458BB}"/>
                <c:ext xmlns:c16="http://schemas.microsoft.com/office/drawing/2014/chart" uri="{C3380CC4-5D6E-409C-BE32-E72D297353CC}">
                  <c16:uniqueId val="{00000027-1A3F-40C3-ABBC-F63E594A4F1B}"/>
                </c:ext>
              </c:extLst>
            </c:dLbl>
            <c:dLbl>
              <c:idx val="20"/>
              <c:delete val="1"/>
              <c:extLst>
                <c:ext xmlns:c15="http://schemas.microsoft.com/office/drawing/2012/chart" uri="{CE6537A1-D6FC-4f65-9D91-7224C49458BB}"/>
                <c:ext xmlns:c16="http://schemas.microsoft.com/office/drawing/2014/chart" uri="{C3380CC4-5D6E-409C-BE32-E72D297353CC}">
                  <c16:uniqueId val="{00000029-1A3F-40C3-ABBC-F63E594A4F1B}"/>
                </c:ext>
              </c:extLst>
            </c:dLbl>
            <c:dLbl>
              <c:idx val="21"/>
              <c:delete val="1"/>
              <c:extLst>
                <c:ext xmlns:c15="http://schemas.microsoft.com/office/drawing/2012/chart" uri="{CE6537A1-D6FC-4f65-9D91-7224C49458BB}"/>
                <c:ext xmlns:c16="http://schemas.microsoft.com/office/drawing/2014/chart" uri="{C3380CC4-5D6E-409C-BE32-E72D297353CC}">
                  <c16:uniqueId val="{0000002B-1A3F-40C3-ABBC-F63E594A4F1B}"/>
                </c:ext>
              </c:extLst>
            </c:dLbl>
            <c:dLbl>
              <c:idx val="22"/>
              <c:delete val="1"/>
              <c:extLst>
                <c:ext xmlns:c15="http://schemas.microsoft.com/office/drawing/2012/chart" uri="{CE6537A1-D6FC-4f65-9D91-7224C49458BB}"/>
                <c:ext xmlns:c16="http://schemas.microsoft.com/office/drawing/2014/chart" uri="{C3380CC4-5D6E-409C-BE32-E72D297353CC}">
                  <c16:uniqueId val="{0000002D-1A3F-40C3-ABBC-F63E594A4F1B}"/>
                </c:ext>
              </c:extLst>
            </c:dLbl>
            <c:dLbl>
              <c:idx val="23"/>
              <c:delete val="1"/>
              <c:extLst>
                <c:ext xmlns:c15="http://schemas.microsoft.com/office/drawing/2012/chart" uri="{CE6537A1-D6FC-4f65-9D91-7224C49458BB}"/>
                <c:ext xmlns:c16="http://schemas.microsoft.com/office/drawing/2014/chart" uri="{C3380CC4-5D6E-409C-BE32-E72D297353CC}">
                  <c16:uniqueId val="{0000002F-1A3F-40C3-ABBC-F63E594A4F1B}"/>
                </c:ext>
              </c:extLst>
            </c:dLbl>
            <c:dLbl>
              <c:idx val="24"/>
              <c:delete val="1"/>
              <c:extLst>
                <c:ext xmlns:c15="http://schemas.microsoft.com/office/drawing/2012/chart" uri="{CE6537A1-D6FC-4f65-9D91-7224C49458BB}"/>
                <c:ext xmlns:c16="http://schemas.microsoft.com/office/drawing/2014/chart" uri="{C3380CC4-5D6E-409C-BE32-E72D297353CC}">
                  <c16:uniqueId val="{00000031-1A3F-40C3-ABBC-F63E594A4F1B}"/>
                </c:ext>
              </c:extLst>
            </c:dLbl>
            <c:dLbl>
              <c:idx val="25"/>
              <c:layout>
                <c:manualLayout>
                  <c:x val="-0.23020390649970135"/>
                  <c:y val="-0.15159415308924623"/>
                </c:manualLayout>
              </c:layout>
              <c:tx>
                <c:rich>
                  <a:bodyPr/>
                  <a:lstStyle/>
                  <a:p>
                    <a:fld id="{08B17651-898E-4CB5-BF39-D5C2DFF3EEF3}"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3-1A3F-40C3-ABBC-F63E594A4F1B}"/>
                </c:ext>
              </c:extLst>
            </c:dLbl>
            <c:dLbl>
              <c:idx val="26"/>
              <c:layout>
                <c:manualLayout>
                  <c:x val="-5.5419398620958134E-2"/>
                  <c:y val="8.8429884625857672E-2"/>
                </c:manualLayout>
              </c:layout>
              <c:tx>
                <c:rich>
                  <a:bodyPr/>
                  <a:lstStyle/>
                  <a:p>
                    <a:fld id="{E6389BB5-8032-462F-9D42-8DE64F3696C7}"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5-1A3F-40C3-ABBC-F63E594A4F1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'Figure 13 b)'!$F$2:$F$28</c:f>
              <c:numCache>
                <c:formatCode>0.0</c:formatCode>
                <c:ptCount val="27"/>
                <c:pt idx="0">
                  <c:v>-0.60217816000000002</c:v>
                </c:pt>
                <c:pt idx="1">
                  <c:v>0.76980161999999996</c:v>
                </c:pt>
                <c:pt idx="2">
                  <c:v>-0.43311840000000001</c:v>
                </c:pt>
                <c:pt idx="3">
                  <c:v>0.24560251999999999</c:v>
                </c:pt>
                <c:pt idx="4">
                  <c:v>0.14807582999999999</c:v>
                </c:pt>
                <c:pt idx="5">
                  <c:v>1.7566786000000001</c:v>
                </c:pt>
                <c:pt idx="6">
                  <c:v>-1.7486273000000001</c:v>
                </c:pt>
                <c:pt idx="7">
                  <c:v>-0.35931137000000002</c:v>
                </c:pt>
                <c:pt idx="8">
                  <c:v>1.2061649999999999</c:v>
                </c:pt>
                <c:pt idx="9">
                  <c:v>-1.0565023</c:v>
                </c:pt>
                <c:pt idx="10">
                  <c:v>0.59292305000000001</c:v>
                </c:pt>
                <c:pt idx="11">
                  <c:v>-0.31026854999999998</c:v>
                </c:pt>
                <c:pt idx="12">
                  <c:v>0.40708466999999998</c:v>
                </c:pt>
                <c:pt idx="13">
                  <c:v>4.7407738999999997E-2</c:v>
                </c:pt>
                <c:pt idx="14">
                  <c:v>1.4558724000000001</c:v>
                </c:pt>
                <c:pt idx="15">
                  <c:v>-0.96201687999999996</c:v>
                </c:pt>
                <c:pt idx="16">
                  <c:v>-0.47982620999999998</c:v>
                </c:pt>
                <c:pt idx="17">
                  <c:v>0.76877426999999998</c:v>
                </c:pt>
                <c:pt idx="18">
                  <c:v>-1.3010662</c:v>
                </c:pt>
                <c:pt idx="19">
                  <c:v>0.92102200000000001</c:v>
                </c:pt>
                <c:pt idx="20">
                  <c:v>-0.10746348999999999</c:v>
                </c:pt>
                <c:pt idx="21">
                  <c:v>-0.13320397</c:v>
                </c:pt>
                <c:pt idx="22">
                  <c:v>8.2794941999999996E-2</c:v>
                </c:pt>
                <c:pt idx="23">
                  <c:v>2.1418753000000001</c:v>
                </c:pt>
                <c:pt idx="24">
                  <c:v>-1.4538555</c:v>
                </c:pt>
                <c:pt idx="25">
                  <c:v>-0.18744425000000001</c:v>
                </c:pt>
                <c:pt idx="26">
                  <c:v>1.4382569000000001</c:v>
                </c:pt>
              </c:numCache>
            </c:numRef>
          </c:xVal>
          <c:yVal>
            <c:numRef>
              <c:f>'Figure 13 b)'!$E$2:$E$28</c:f>
              <c:numCache>
                <c:formatCode>0.0</c:formatCode>
                <c:ptCount val="27"/>
                <c:pt idx="0">
                  <c:v>-2.3081689000000001</c:v>
                </c:pt>
                <c:pt idx="1">
                  <c:v>2.5982520999999998</c:v>
                </c:pt>
                <c:pt idx="2">
                  <c:v>-0.95529037999999999</c:v>
                </c:pt>
                <c:pt idx="3">
                  <c:v>1.2266486000000001</c:v>
                </c:pt>
                <c:pt idx="4">
                  <c:v>-0.33595675000000003</c:v>
                </c:pt>
                <c:pt idx="5">
                  <c:v>8.1282443999999995E-2</c:v>
                </c:pt>
                <c:pt idx="6">
                  <c:v>-0.14146437000000001</c:v>
                </c:pt>
                <c:pt idx="7">
                  <c:v>-3.0426565999999999E-2</c:v>
                </c:pt>
                <c:pt idx="8">
                  <c:v>-0.14583649000000001</c:v>
                </c:pt>
                <c:pt idx="9">
                  <c:v>-4.2482594999999996</c:v>
                </c:pt>
                <c:pt idx="10">
                  <c:v>4.0561284999999998</c:v>
                </c:pt>
                <c:pt idx="11">
                  <c:v>-0.95644127999999995</c:v>
                </c:pt>
                <c:pt idx="12">
                  <c:v>0.47901716999999999</c:v>
                </c:pt>
                <c:pt idx="13">
                  <c:v>3.4963213E-2</c:v>
                </c:pt>
                <c:pt idx="14">
                  <c:v>7.3185757000000004E-2</c:v>
                </c:pt>
                <c:pt idx="15">
                  <c:v>0.32594946000000002</c:v>
                </c:pt>
                <c:pt idx="16">
                  <c:v>0.57718586999999999</c:v>
                </c:pt>
                <c:pt idx="17">
                  <c:v>0.12341866999999999</c:v>
                </c:pt>
                <c:pt idx="18">
                  <c:v>-2.1202166</c:v>
                </c:pt>
                <c:pt idx="19">
                  <c:v>1.3621055</c:v>
                </c:pt>
                <c:pt idx="20">
                  <c:v>-0.13454120999999999</c:v>
                </c:pt>
                <c:pt idx="21">
                  <c:v>-0.24861251000000001</c:v>
                </c:pt>
                <c:pt idx="22">
                  <c:v>1.9880069E-2</c:v>
                </c:pt>
                <c:pt idx="23">
                  <c:v>-3.8355465999999998E-2</c:v>
                </c:pt>
                <c:pt idx="24">
                  <c:v>-0.13949202999999999</c:v>
                </c:pt>
                <c:pt idx="25">
                  <c:v>1.2225950999999999</c:v>
                </c:pt>
                <c:pt idx="26">
                  <c:v>-5.1828407E-2</c:v>
                </c:pt>
              </c:numCache>
            </c:numRef>
          </c:yVal>
          <c:bubbleSize>
            <c:numRef>
              <c:f>'Figure 13 b)'!$D$2:$D$28</c:f>
              <c:numCache>
                <c:formatCode>0.0</c:formatCode>
                <c:ptCount val="27"/>
                <c:pt idx="0">
                  <c:v>7.8362042577854299E-2</c:v>
                </c:pt>
                <c:pt idx="1">
                  <c:v>0.18338669032287599</c:v>
                </c:pt>
                <c:pt idx="2">
                  <c:v>7.3659394762582597E-2</c:v>
                </c:pt>
                <c:pt idx="3">
                  <c:v>0.182536555535351</c:v>
                </c:pt>
                <c:pt idx="4">
                  <c:v>0.113952979990414</c:v>
                </c:pt>
                <c:pt idx="5">
                  <c:v>5.4397301494957997E-3</c:v>
                </c:pt>
                <c:pt idx="6">
                  <c:v>0.112206919256453</c:v>
                </c:pt>
                <c:pt idx="7">
                  <c:v>0.24325828652609499</c:v>
                </c:pt>
                <c:pt idx="8">
                  <c:v>7.0482601163537996E-3</c:v>
                </c:pt>
                <c:pt idx="9">
                  <c:v>8.8621380945145906E-2</c:v>
                </c:pt>
                <c:pt idx="10">
                  <c:v>0.21985908101026799</c:v>
                </c:pt>
                <c:pt idx="11">
                  <c:v>5.97209318168474E-2</c:v>
                </c:pt>
                <c:pt idx="12">
                  <c:v>0.15230607952363001</c:v>
                </c:pt>
                <c:pt idx="13">
                  <c:v>0.10946745959929401</c:v>
                </c:pt>
                <c:pt idx="14">
                  <c:v>1.3212555872125001E-3</c:v>
                </c:pt>
                <c:pt idx="15">
                  <c:v>0.11190470107936901</c:v>
                </c:pt>
                <c:pt idx="16">
                  <c:v>0.24068006118650301</c:v>
                </c:pt>
                <c:pt idx="17">
                  <c:v>1.47251873534148E-2</c:v>
                </c:pt>
                <c:pt idx="18">
                  <c:v>0.105216911914635</c:v>
                </c:pt>
                <c:pt idx="19">
                  <c:v>0.123704391114884</c:v>
                </c:pt>
                <c:pt idx="20">
                  <c:v>8.1678851343413197E-2</c:v>
                </c:pt>
                <c:pt idx="21">
                  <c:v>0.12157371003935701</c:v>
                </c:pt>
                <c:pt idx="22">
                  <c:v>0.163257420659224</c:v>
                </c:pt>
                <c:pt idx="23">
                  <c:v>3.7506928752773002E-3</c:v>
                </c:pt>
                <c:pt idx="24">
                  <c:v>8.39120238218556E-2</c:v>
                </c:pt>
                <c:pt idx="25">
                  <c:v>0.30691807019060602</c:v>
                </c:pt>
                <c:pt idx="26">
                  <c:v>3.4479747263654998E-3</c:v>
                </c:pt>
              </c:numCache>
            </c:numRef>
          </c:bubbleSize>
          <c:bubble3D val="0"/>
          <c:extLst>
            <c:ext xmlns:c15="http://schemas.microsoft.com/office/drawing/2012/chart" uri="{02D57815-91ED-43cb-92C2-25804820EDAC}">
              <c15:datalabelsRange>
                <c15:f>'Figure 13 b)'!$B$2:$B$28</c15:f>
                <c15:dlblRangeCache>
                  <c:ptCount val="27"/>
                  <c:pt idx="0">
                    <c:v>Agriculture</c:v>
                  </c:pt>
                  <c:pt idx="1">
                    <c:v>Transport, Communications, Finance and Real Estate</c:v>
                  </c:pt>
                  <c:pt idx="2">
                    <c:v>Construction</c:v>
                  </c:pt>
                  <c:pt idx="3">
                    <c:v>Government, Health and Education</c:v>
                  </c:pt>
                  <c:pt idx="4">
                    <c:v>Manufacturing</c:v>
                  </c:pt>
                  <c:pt idx="5">
                    <c:v>Mining</c:v>
                  </c:pt>
                  <c:pt idx="6">
                    <c:v>Other</c:v>
                  </c:pt>
                  <c:pt idx="7">
                    <c:v>Retail and Hospitality</c:v>
                  </c:pt>
                  <c:pt idx="8">
                    <c:v>Utilities</c:v>
                  </c:pt>
                  <c:pt idx="9">
                    <c:v>Agriculture</c:v>
                  </c:pt>
                  <c:pt idx="10">
                    <c:v>Transport, Communications, Finance and Real Estate</c:v>
                  </c:pt>
                  <c:pt idx="11">
                    <c:v>Construction</c:v>
                  </c:pt>
                  <c:pt idx="12">
                    <c:v>Government, Health and Education</c:v>
                  </c:pt>
                  <c:pt idx="13">
                    <c:v>Manufacturing</c:v>
                  </c:pt>
                  <c:pt idx="14">
                    <c:v>Mining</c:v>
                  </c:pt>
                  <c:pt idx="15">
                    <c:v>Other</c:v>
                  </c:pt>
                  <c:pt idx="16">
                    <c:v>Retail and Hospitality</c:v>
                  </c:pt>
                  <c:pt idx="17">
                    <c:v>Utilities</c:v>
                  </c:pt>
                  <c:pt idx="18">
                    <c:v>Agriculture</c:v>
                  </c:pt>
                  <c:pt idx="19">
                    <c:v>Transport, Communications, Finance and Real Estate</c:v>
                  </c:pt>
                  <c:pt idx="20">
                    <c:v>Construction</c:v>
                  </c:pt>
                  <c:pt idx="21">
                    <c:v>Government, Health and Education</c:v>
                  </c:pt>
                  <c:pt idx="22">
                    <c:v>Manufacturing</c:v>
                  </c:pt>
                  <c:pt idx="23">
                    <c:v>Mining</c:v>
                  </c:pt>
                  <c:pt idx="24">
                    <c:v>Other</c:v>
                  </c:pt>
                  <c:pt idx="25">
                    <c:v>Retail and Hospitality</c:v>
                  </c:pt>
                  <c:pt idx="26">
                    <c:v>Utilities</c:v>
                  </c:pt>
                </c15:dlblRangeCache>
              </c15:datalabelsRange>
            </c:ext>
            <c:ext xmlns:c16="http://schemas.microsoft.com/office/drawing/2014/chart" uri="{C3380CC4-5D6E-409C-BE32-E72D297353CC}">
              <c16:uniqueId val="{00000036-1A3F-40C3-ABBC-F63E594A4F1B}"/>
            </c:ext>
          </c:extLst>
        </c:ser>
        <c:dLbls>
          <c:showLegendKey val="0"/>
          <c:showVal val="0"/>
          <c:showCatName val="0"/>
          <c:showSerName val="0"/>
          <c:showPercent val="0"/>
          <c:showBubbleSize val="0"/>
        </c:dLbls>
        <c:bubbleScale val="100"/>
        <c:showNegBubbles val="0"/>
        <c:axId val="931700112"/>
        <c:axId val="931700592"/>
      </c:bubbleChart>
      <c:valAx>
        <c:axId val="931700112"/>
        <c:scaling>
          <c:orientation val="minMax"/>
          <c:max val="4"/>
        </c:scaling>
        <c:delete val="0"/>
        <c:axPos val="b"/>
        <c:title>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r>
                  <a:rPr lang="en-US">
                    <a:solidFill>
                      <a:schemeClr val="tx1"/>
                    </a:solidFill>
                  </a:rPr>
                  <a:t>log(sectoral</a:t>
                </a:r>
                <a:r>
                  <a:rPr lang="en-US" baseline="0">
                    <a:solidFill>
                      <a:schemeClr val="tx1"/>
                    </a:solidFill>
                  </a:rPr>
                  <a:t> productivity/total productivity), 2018</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title>
        <c:numFmt formatCode="0.0" sourceLinked="1"/>
        <c:majorTickMark val="none"/>
        <c:minorTickMark val="none"/>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31700592"/>
        <c:crosses val="autoZero"/>
        <c:crossBetween val="midCat"/>
      </c:valAx>
      <c:valAx>
        <c:axId val="931700592"/>
        <c:scaling>
          <c:orientation val="minMax"/>
          <c:max val="6.5"/>
          <c:min val="-9.5"/>
        </c:scaling>
        <c:delete val="0"/>
        <c:axPos val="l"/>
        <c:title>
          <c:tx>
            <c:rich>
              <a:bodyPr rot="-5400000" spcFirstLastPara="1" vertOverflow="ellipsis" vert="horz" wrap="square" anchor="ctr" anchorCtr="1"/>
              <a:lstStyle/>
              <a:p>
                <a:pPr>
                  <a:defRPr sz="900" b="0" i="0" u="none" strike="noStrike" kern="1200" baseline="0">
                    <a:solidFill>
                      <a:schemeClr val="tx1"/>
                    </a:solidFill>
                    <a:latin typeface="+mn-lt"/>
                    <a:ea typeface="+mn-ea"/>
                    <a:cs typeface="+mn-cs"/>
                  </a:defRPr>
                </a:pPr>
                <a:r>
                  <a:rPr lang="en-US" sz="900" b="0" i="0" u="none" strike="noStrike" baseline="0">
                    <a:solidFill>
                      <a:schemeClr val="tx1"/>
                    </a:solidFill>
                  </a:rPr>
                  <a:t>Employment Share (Change, p.p.)</a:t>
                </a:r>
                <a:endParaRPr lang="en-US">
                  <a:solidFill>
                    <a:schemeClr val="tx1"/>
                  </a:solidFill>
                </a:endParaRP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title>
        <c:numFmt formatCode="0.0" sourceLinked="1"/>
        <c:majorTickMark val="none"/>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3170011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621115618462203E-2"/>
          <c:y val="4.6722364156902715E-2"/>
          <c:w val="0.90992595890171901"/>
          <c:h val="0.82396221477197051"/>
        </c:manualLayout>
      </c:layout>
      <c:barChart>
        <c:barDir val="col"/>
        <c:grouping val="clustered"/>
        <c:varyColors val="0"/>
        <c:ser>
          <c:idx val="2"/>
          <c:order val="2"/>
          <c:tx>
            <c:strRef>
              <c:f>'Annex 01'!$D$4</c:f>
              <c:strCache>
                <c:ptCount val="1"/>
                <c:pt idx="0">
                  <c:v>2016-2023</c:v>
                </c:pt>
              </c:strCache>
            </c:strRef>
          </c:tx>
          <c:spPr>
            <a:solidFill>
              <a:schemeClr val="accent5"/>
            </a:solidFill>
            <a:ln>
              <a:noFill/>
            </a:ln>
            <a:effectLst/>
          </c:spPr>
          <c:invertIfNegative val="0"/>
          <c:dPt>
            <c:idx val="5"/>
            <c:invertIfNegative val="0"/>
            <c:bubble3D val="0"/>
            <c:spPr>
              <a:solidFill>
                <a:schemeClr val="accent5">
                  <a:alpha val="50000"/>
                </a:schemeClr>
              </a:solidFill>
              <a:ln>
                <a:noFill/>
              </a:ln>
              <a:effectLst/>
            </c:spPr>
            <c:extLst>
              <c:ext xmlns:c16="http://schemas.microsoft.com/office/drawing/2014/chart" uri="{C3380CC4-5D6E-409C-BE32-E72D297353CC}">
                <c16:uniqueId val="{00000001-71F4-4043-B1B0-289EBA310AEB}"/>
              </c:ext>
            </c:extLst>
          </c:dPt>
          <c:dPt>
            <c:idx val="6"/>
            <c:invertIfNegative val="0"/>
            <c:bubble3D val="0"/>
            <c:spPr>
              <a:solidFill>
                <a:schemeClr val="accent5"/>
              </a:solidFill>
              <a:ln>
                <a:noFill/>
              </a:ln>
              <a:effectLst/>
            </c:spPr>
            <c:extLst>
              <c:ext xmlns:c16="http://schemas.microsoft.com/office/drawing/2014/chart" uri="{C3380CC4-5D6E-409C-BE32-E72D297353CC}">
                <c16:uniqueId val="{00000003-71F4-4043-B1B0-289EBA310AEB}"/>
              </c:ext>
            </c:extLst>
          </c:dPt>
          <c:dLbls>
            <c:dLbl>
              <c:idx val="6"/>
              <c:layout>
                <c:manualLayout>
                  <c:x val="0"/>
                  <c:y val="-6.8341021698274385E-2"/>
                </c:manualLayout>
              </c:layout>
              <c:showLegendKey val="0"/>
              <c:showVal val="1"/>
              <c:showCatName val="0"/>
              <c:showSerName val="0"/>
              <c:showPercent val="0"/>
              <c:showBubbleSize val="0"/>
              <c:extLst>
                <c:ext xmlns:c15="http://schemas.microsoft.com/office/drawing/2012/chart" uri="{CE6537A1-D6FC-4f65-9D91-7224C49458BB}">
                  <c15:layout>
                    <c:manualLayout>
                      <c:w val="3.4100973634482563E-2"/>
                      <c:h val="6.9178333743648526E-2"/>
                    </c:manualLayout>
                  </c15:layout>
                </c:ext>
                <c:ext xmlns:c16="http://schemas.microsoft.com/office/drawing/2014/chart" uri="{C3380CC4-5D6E-409C-BE32-E72D297353CC}">
                  <c16:uniqueId val="{00000003-71F4-4043-B1B0-289EBA310AEB}"/>
                </c:ext>
              </c:extLst>
            </c:dLbl>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chemeClr val="accent5"/>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'Annex 01'!$A$5:$A$15</c:f>
              <c:strCache>
                <c:ptCount val="11"/>
                <c:pt idx="0">
                  <c:v>Costa Rica</c:v>
                </c:pt>
                <c:pt idx="1">
                  <c:v>El Salvador</c:v>
                </c:pt>
                <c:pt idx="2">
                  <c:v>Mexico</c:v>
                </c:pt>
                <c:pt idx="3">
                  <c:v>Brazil</c:v>
                </c:pt>
                <c:pt idx="4">
                  <c:v>Dominican Republic</c:v>
                </c:pt>
                <c:pt idx="5">
                  <c:v>LAC</c:v>
                </c:pt>
                <c:pt idx="6">
                  <c:v>Chile</c:v>
                </c:pt>
                <c:pt idx="7">
                  <c:v>Peru</c:v>
                </c:pt>
                <c:pt idx="8">
                  <c:v>Argentina</c:v>
                </c:pt>
                <c:pt idx="9">
                  <c:v>Ecuador</c:v>
                </c:pt>
                <c:pt idx="10">
                  <c:v>Panama</c:v>
                </c:pt>
              </c:strCache>
            </c:strRef>
          </c:cat>
          <c:val>
            <c:numRef>
              <c:f>'Annex 01'!$D$5:$D$15</c:f>
              <c:numCache>
                <c:formatCode>0.00</c:formatCode>
                <c:ptCount val="11"/>
                <c:pt idx="0">
                  <c:v>7.9115927219390869E-2</c:v>
                </c:pt>
                <c:pt idx="1">
                  <c:v>3.2432317733764648E-2</c:v>
                </c:pt>
                <c:pt idx="2">
                  <c:v>3.0644893646240234E-2</c:v>
                </c:pt>
                <c:pt idx="3">
                  <c:v>2.9861569404602051E-2</c:v>
                </c:pt>
                <c:pt idx="4">
                  <c:v>2.9068827629089355E-2</c:v>
                </c:pt>
                <c:pt idx="5">
                  <c:v>2.5328462038721411E-2</c:v>
                </c:pt>
                <c:pt idx="6">
                  <c:v>2.1388530731201172E-3</c:v>
                </c:pt>
                <c:pt idx="7">
                  <c:v>-1.72710120677948E-2</c:v>
                </c:pt>
                <c:pt idx="8">
                  <c:v>-1.9008159637451172E-2</c:v>
                </c:pt>
                <c:pt idx="9">
                  <c:v>-2.6496589183807373E-2</c:v>
                </c:pt>
                <c:pt idx="10">
                  <c:v>-3.3917367458343506E-2</c:v>
                </c:pt>
              </c:numCache>
            </c:numRef>
          </c:val>
          <c:extLst>
            <c:ext xmlns:c16="http://schemas.microsoft.com/office/drawing/2014/chart" uri="{C3380CC4-5D6E-409C-BE32-E72D297353CC}">
              <c16:uniqueId val="{00000004-71F4-4043-B1B0-289EBA310AEB}"/>
            </c:ext>
          </c:extLst>
        </c:ser>
        <c:dLbls>
          <c:showLegendKey val="0"/>
          <c:showVal val="0"/>
          <c:showCatName val="0"/>
          <c:showSerName val="0"/>
          <c:showPercent val="0"/>
          <c:showBubbleSize val="0"/>
        </c:dLbls>
        <c:gapWidth val="30"/>
        <c:axId val="1087906832"/>
        <c:axId val="479291072"/>
      </c:barChart>
      <c:lineChart>
        <c:grouping val="standard"/>
        <c:varyColors val="0"/>
        <c:ser>
          <c:idx val="0"/>
          <c:order val="0"/>
          <c:tx>
            <c:strRef>
              <c:f>'Annex 01'!$B$4</c:f>
              <c:strCache>
                <c:ptCount val="1"/>
                <c:pt idx="0">
                  <c:v>2016-2019</c:v>
                </c:pt>
              </c:strCache>
            </c:strRef>
          </c:tx>
          <c:spPr>
            <a:ln w="28575" cap="rnd">
              <a:noFill/>
              <a:round/>
            </a:ln>
            <a:effectLst/>
          </c:spPr>
          <c:marker>
            <c:symbol val="circle"/>
            <c:size val="5"/>
            <c:spPr>
              <a:solidFill>
                <a:srgbClr val="002060"/>
              </a:solidFill>
              <a:ln w="9525">
                <a:noFill/>
              </a:ln>
              <a:effectLst/>
            </c:spPr>
          </c:marker>
          <c:dPt>
            <c:idx val="5"/>
            <c:marker>
              <c:symbol val="circle"/>
              <c:size val="5"/>
              <c:spPr>
                <a:solidFill>
                  <a:srgbClr val="002060"/>
                </a:solidFill>
                <a:ln w="9525">
                  <a:noFill/>
                </a:ln>
                <a:effectLst/>
              </c:spPr>
            </c:marker>
            <c:bubble3D val="0"/>
            <c:spPr>
              <a:ln w="28575" cap="rnd">
                <a:noFill/>
                <a:round/>
              </a:ln>
              <a:effectLst/>
            </c:spPr>
            <c:extLst>
              <c:ext xmlns:c16="http://schemas.microsoft.com/office/drawing/2014/chart" uri="{C3380CC4-5D6E-409C-BE32-E72D297353CC}">
                <c16:uniqueId val="{00000006-71F4-4043-B1B0-289EBA310AEB}"/>
              </c:ext>
            </c:extLst>
          </c:dPt>
          <c:dPt>
            <c:idx val="6"/>
            <c:marker>
              <c:symbol val="circle"/>
              <c:size val="5"/>
              <c:spPr>
                <a:solidFill>
                  <a:srgbClr val="002060"/>
                </a:solidFill>
                <a:ln w="9525">
                  <a:noFill/>
                </a:ln>
                <a:effectLst/>
              </c:spPr>
            </c:marker>
            <c:bubble3D val="0"/>
            <c:spPr>
              <a:ln w="28575" cap="rnd">
                <a:noFill/>
                <a:round/>
              </a:ln>
              <a:effectLst/>
            </c:spPr>
            <c:extLst>
              <c:ext xmlns:c16="http://schemas.microsoft.com/office/drawing/2014/chart" uri="{C3380CC4-5D6E-409C-BE32-E72D297353CC}">
                <c16:uniqueId val="{00000008-71F4-4043-B1B0-289EBA310AEB}"/>
              </c:ext>
            </c:extLst>
          </c:dPt>
          <c:cat>
            <c:strRef>
              <c:f>'Annex 01'!$A$5:$A$15</c:f>
              <c:strCache>
                <c:ptCount val="11"/>
                <c:pt idx="0">
                  <c:v>Costa Rica</c:v>
                </c:pt>
                <c:pt idx="1">
                  <c:v>El Salvador</c:v>
                </c:pt>
                <c:pt idx="2">
                  <c:v>Mexico</c:v>
                </c:pt>
                <c:pt idx="3">
                  <c:v>Brazil</c:v>
                </c:pt>
                <c:pt idx="4">
                  <c:v>Dominican Republic</c:v>
                </c:pt>
                <c:pt idx="5">
                  <c:v>LAC</c:v>
                </c:pt>
                <c:pt idx="6">
                  <c:v>Chile</c:v>
                </c:pt>
                <c:pt idx="7">
                  <c:v>Peru</c:v>
                </c:pt>
                <c:pt idx="8">
                  <c:v>Argentina</c:v>
                </c:pt>
                <c:pt idx="9">
                  <c:v>Ecuador</c:v>
                </c:pt>
                <c:pt idx="10">
                  <c:v>Panama</c:v>
                </c:pt>
              </c:strCache>
            </c:strRef>
          </c:cat>
          <c:val>
            <c:numRef>
              <c:f>'Annex 01'!$B$5:$B$15</c:f>
              <c:numCache>
                <c:formatCode>0.00</c:formatCode>
                <c:ptCount val="11"/>
                <c:pt idx="0">
                  <c:v>2.4165809154510498E-2</c:v>
                </c:pt>
                <c:pt idx="1">
                  <c:v>2.3626744747161865E-2</c:v>
                </c:pt>
                <c:pt idx="2">
                  <c:v>8.5534453392028809E-3</c:v>
                </c:pt>
                <c:pt idx="3">
                  <c:v>-2.203059196472168E-2</c:v>
                </c:pt>
                <c:pt idx="4">
                  <c:v>2.5015056133270264E-2</c:v>
                </c:pt>
                <c:pt idx="5">
                  <c:v>-1.6875394753047557E-3</c:v>
                </c:pt>
                <c:pt idx="6">
                  <c:v>-9.0860128402709961E-3</c:v>
                </c:pt>
                <c:pt idx="7">
                  <c:v>5.3201317787170965E-3</c:v>
                </c:pt>
                <c:pt idx="8">
                  <c:v>-4.0315628051757813E-2</c:v>
                </c:pt>
                <c:pt idx="9">
                  <c:v>-7.7865123748779297E-3</c:v>
                </c:pt>
                <c:pt idx="10">
                  <c:v>-3.3736586570739746E-2</c:v>
                </c:pt>
              </c:numCache>
            </c:numRef>
          </c:val>
          <c:smooth val="0"/>
          <c:extLst>
            <c:ext xmlns:c16="http://schemas.microsoft.com/office/drawing/2014/chart" uri="{C3380CC4-5D6E-409C-BE32-E72D297353CC}">
              <c16:uniqueId val="{00000009-71F4-4043-B1B0-289EBA310AEB}"/>
            </c:ext>
          </c:extLst>
        </c:ser>
        <c:ser>
          <c:idx val="1"/>
          <c:order val="1"/>
          <c:tx>
            <c:strRef>
              <c:f>'Annex 01'!$C$4</c:f>
              <c:strCache>
                <c:ptCount val="1"/>
                <c:pt idx="0">
                  <c:v>2019-2023</c:v>
                </c:pt>
              </c:strCache>
            </c:strRef>
          </c:tx>
          <c:spPr>
            <a:ln w="28575" cap="rnd">
              <a:noFill/>
              <a:round/>
            </a:ln>
            <a:effectLst/>
          </c:spPr>
          <c:marker>
            <c:symbol val="diamond"/>
            <c:size val="6"/>
            <c:spPr>
              <a:solidFill>
                <a:schemeClr val="bg2">
                  <a:lumMod val="50000"/>
                </a:schemeClr>
              </a:solidFill>
              <a:ln w="9525">
                <a:solidFill>
                  <a:schemeClr val="bg2">
                    <a:lumMod val="75000"/>
                  </a:schemeClr>
                </a:solidFill>
              </a:ln>
              <a:effectLst/>
            </c:spPr>
          </c:marker>
          <c:dPt>
            <c:idx val="5"/>
            <c:marker>
              <c:symbol val="diamond"/>
              <c:size val="6"/>
              <c:spPr>
                <a:solidFill>
                  <a:schemeClr val="bg2">
                    <a:lumMod val="50000"/>
                  </a:schemeClr>
                </a:solidFill>
                <a:ln w="9525">
                  <a:solidFill>
                    <a:schemeClr val="bg2">
                      <a:lumMod val="75000"/>
                    </a:schemeClr>
                  </a:solidFill>
                </a:ln>
                <a:effectLst/>
              </c:spPr>
            </c:marker>
            <c:bubble3D val="0"/>
            <c:spPr>
              <a:ln w="28575" cap="rnd">
                <a:noFill/>
                <a:round/>
              </a:ln>
              <a:effectLst/>
            </c:spPr>
            <c:extLst>
              <c:ext xmlns:c16="http://schemas.microsoft.com/office/drawing/2014/chart" uri="{C3380CC4-5D6E-409C-BE32-E72D297353CC}">
                <c16:uniqueId val="{0000000B-71F4-4043-B1B0-289EBA310AEB}"/>
              </c:ext>
            </c:extLst>
          </c:dPt>
          <c:dPt>
            <c:idx val="6"/>
            <c:marker>
              <c:symbol val="diamond"/>
              <c:size val="6"/>
              <c:spPr>
                <a:solidFill>
                  <a:schemeClr val="bg2">
                    <a:lumMod val="50000"/>
                  </a:schemeClr>
                </a:solidFill>
                <a:ln w="9525">
                  <a:solidFill>
                    <a:schemeClr val="bg2">
                      <a:lumMod val="75000"/>
                    </a:schemeClr>
                  </a:solidFill>
                </a:ln>
                <a:effectLst/>
              </c:spPr>
            </c:marker>
            <c:bubble3D val="0"/>
            <c:spPr>
              <a:ln w="28575" cap="rnd">
                <a:noFill/>
                <a:round/>
              </a:ln>
              <a:effectLst/>
            </c:spPr>
            <c:extLst>
              <c:ext xmlns:c16="http://schemas.microsoft.com/office/drawing/2014/chart" uri="{C3380CC4-5D6E-409C-BE32-E72D297353CC}">
                <c16:uniqueId val="{0000000D-71F4-4043-B1B0-289EBA310AEB}"/>
              </c:ext>
            </c:extLst>
          </c:dPt>
          <c:cat>
            <c:strRef>
              <c:f>'Annex 01'!$A$5:$A$15</c:f>
              <c:strCache>
                <c:ptCount val="11"/>
                <c:pt idx="0">
                  <c:v>Costa Rica</c:v>
                </c:pt>
                <c:pt idx="1">
                  <c:v>El Salvador</c:v>
                </c:pt>
                <c:pt idx="2">
                  <c:v>Mexico</c:v>
                </c:pt>
                <c:pt idx="3">
                  <c:v>Brazil</c:v>
                </c:pt>
                <c:pt idx="4">
                  <c:v>Dominican Republic</c:v>
                </c:pt>
                <c:pt idx="5">
                  <c:v>LAC</c:v>
                </c:pt>
                <c:pt idx="6">
                  <c:v>Chile</c:v>
                </c:pt>
                <c:pt idx="7">
                  <c:v>Peru</c:v>
                </c:pt>
                <c:pt idx="8">
                  <c:v>Argentina</c:v>
                </c:pt>
                <c:pt idx="9">
                  <c:v>Ecuador</c:v>
                </c:pt>
                <c:pt idx="10">
                  <c:v>Panama</c:v>
                </c:pt>
              </c:strCache>
            </c:strRef>
          </c:cat>
          <c:val>
            <c:numRef>
              <c:f>'Annex 01'!$C$5:$C$15</c:f>
              <c:numCache>
                <c:formatCode>0.00</c:formatCode>
                <c:ptCount val="11"/>
                <c:pt idx="0">
                  <c:v>5.4950118064880371E-2</c:v>
                </c:pt>
                <c:pt idx="1">
                  <c:v>8.8055729866027832E-3</c:v>
                </c:pt>
                <c:pt idx="2">
                  <c:v>2.2091448307037354E-2</c:v>
                </c:pt>
                <c:pt idx="3">
                  <c:v>5.189216136932373E-2</c:v>
                </c:pt>
                <c:pt idx="4">
                  <c:v>4.0537714958190918E-3</c:v>
                </c:pt>
                <c:pt idx="5">
                  <c:v>2.7016001514026167E-2</c:v>
                </c:pt>
                <c:pt idx="6">
                  <c:v>1.1224865913391113E-2</c:v>
                </c:pt>
                <c:pt idx="7">
                  <c:v>-2.2591143846511896E-2</c:v>
                </c:pt>
                <c:pt idx="8">
                  <c:v>2.1307468414306641E-2</c:v>
                </c:pt>
                <c:pt idx="9">
                  <c:v>-1.8710076808929443E-2</c:v>
                </c:pt>
                <c:pt idx="10">
                  <c:v>-1.8078088760375977E-4</c:v>
                </c:pt>
              </c:numCache>
            </c:numRef>
          </c:val>
          <c:smooth val="0"/>
          <c:extLst>
            <c:ext xmlns:c16="http://schemas.microsoft.com/office/drawing/2014/chart" uri="{C3380CC4-5D6E-409C-BE32-E72D297353CC}">
              <c16:uniqueId val="{0000000E-71F4-4043-B1B0-289EBA310AEB}"/>
            </c:ext>
          </c:extLst>
        </c:ser>
        <c:dLbls>
          <c:showLegendKey val="0"/>
          <c:showVal val="0"/>
          <c:showCatName val="0"/>
          <c:showSerName val="0"/>
          <c:showPercent val="0"/>
          <c:showBubbleSize val="0"/>
        </c:dLbls>
        <c:marker val="1"/>
        <c:smooth val="0"/>
        <c:axId val="1087906832"/>
        <c:axId val="479291072"/>
      </c:lineChart>
      <c:catAx>
        <c:axId val="108790683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ysClr val="windowText" lastClr="000000"/>
                </a:solidFill>
                <a:latin typeface="+mn-lt"/>
                <a:ea typeface="+mn-ea"/>
                <a:cs typeface="+mn-cs"/>
              </a:defRPr>
            </a:pPr>
            <a:endParaRPr lang="es-CO"/>
          </a:p>
        </c:txPr>
        <c:crossAx val="479291072"/>
        <c:crosses val="autoZero"/>
        <c:auto val="1"/>
        <c:lblAlgn val="ctr"/>
        <c:lblOffset val="100"/>
        <c:noMultiLvlLbl val="0"/>
      </c:catAx>
      <c:valAx>
        <c:axId val="4792910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Change (p.p.)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87906832"/>
        <c:crosses val="autoZero"/>
        <c:crossBetween val="between"/>
      </c:valAx>
      <c:spPr>
        <a:noFill/>
        <a:ln>
          <a:noFill/>
        </a:ln>
        <a:effectLst/>
      </c:spPr>
    </c:plotArea>
    <c:legend>
      <c:legendPos val="tr"/>
      <c:overlay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LAC hourly</a:t>
            </a:r>
            <a:r>
              <a:rPr lang="en-US" baseline="0"/>
              <a:t> and total income gini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5636482939632552E-2"/>
          <c:y val="0.17171296296296296"/>
          <c:w val="0.88380796150481189"/>
          <c:h val="0.66165099154272378"/>
        </c:manualLayout>
      </c:layout>
      <c:barChart>
        <c:barDir val="col"/>
        <c:grouping val="clustered"/>
        <c:varyColors val="0"/>
        <c:ser>
          <c:idx val="0"/>
          <c:order val="0"/>
          <c:tx>
            <c:v>#REF!</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f>
            </c:multiLvlStrRef>
          </c:cat>
          <c:val>
            <c:numLit>
              <c:formatCode>General</c:formatCode>
              <c:ptCount val="1"/>
              <c:pt idx="0">
                <c:v>1</c:v>
              </c:pt>
            </c:numLit>
          </c:val>
          <c:extLst>
            <c:ext xmlns:c16="http://schemas.microsoft.com/office/drawing/2014/chart" uri="{C3380CC4-5D6E-409C-BE32-E72D297353CC}">
              <c16:uniqueId val="{00000000-74E5-4D08-AD0E-67F52485C429}"/>
            </c:ext>
          </c:extLst>
        </c:ser>
        <c:ser>
          <c:idx val="1"/>
          <c:order val="1"/>
          <c:tx>
            <c:v>#REF!</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1"/>
              <c:pt idx="0">
                <c:v>#¡REF!</c:v>
              </c:pt>
              <c:pt idx="1">
                <c:v>#¡REF!</c:v>
              </c:pt>
              <c:pt idx="2">
                <c:v>#¡REF!</c:v>
              </c:pt>
              <c:pt idx="3">
                <c:v>#¡REF!</c:v>
              </c:pt>
              <c:pt idx="4">
                <c:v>#¡REF!</c:v>
              </c:pt>
              <c:pt idx="5">
                <c:v>#¡REF!</c:v>
              </c:pt>
              <c:pt idx="6">
                <c:v>#¡REF!</c:v>
              </c:pt>
              <c:pt idx="7">
                <c:v>#¡REF!</c:v>
              </c:pt>
              <c:pt idx="8">
                <c:v>#¡REF!</c:v>
              </c:pt>
              <c:pt idx="9">
                <c:v>#¡REF!</c:v>
              </c:pt>
              <c:pt idx="10">
                <c:v>#¡REF!</c:v>
              </c:pt>
            </c:strLit>
          </c:cat>
          <c:val>
            <c:numLit>
              <c:formatCode>General</c:formatCode>
              <c:ptCount val="13"/>
            </c:numLit>
          </c:val>
          <c:extLst>
            <c:ext xmlns:c16="http://schemas.microsoft.com/office/drawing/2014/chart" uri="{C3380CC4-5D6E-409C-BE32-E72D297353CC}">
              <c16:uniqueId val="{00000001-74E5-4D08-AD0E-67F52485C429}"/>
            </c:ext>
          </c:extLst>
        </c:ser>
        <c:dLbls>
          <c:showLegendKey val="0"/>
          <c:showVal val="0"/>
          <c:showCatName val="0"/>
          <c:showSerName val="0"/>
          <c:showPercent val="0"/>
          <c:showBubbleSize val="0"/>
        </c:dLbls>
        <c:gapWidth val="219"/>
        <c:overlap val="-27"/>
        <c:axId val="1436001968"/>
        <c:axId val="1435989008"/>
      </c:barChart>
      <c:catAx>
        <c:axId val="143600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989008"/>
        <c:crosses val="autoZero"/>
        <c:auto val="1"/>
        <c:lblAlgn val="ctr"/>
        <c:lblOffset val="100"/>
        <c:noMultiLvlLbl val="0"/>
      </c:catAx>
      <c:valAx>
        <c:axId val="1435989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001968"/>
        <c:crosses val="autoZero"/>
        <c:crossBetween val="between"/>
      </c:valAx>
      <c:spPr>
        <a:noFill/>
        <a:ln>
          <a:noFill/>
        </a:ln>
        <a:effectLst/>
      </c:spPr>
    </c:plotArea>
    <c:legend>
      <c:legendPos val="b"/>
      <c:layout>
        <c:manualLayout>
          <c:xMode val="edge"/>
          <c:yMode val="edge"/>
          <c:x val="0.69905398006259367"/>
          <c:y val="0.13082327465137988"/>
          <c:w val="0.25729932692483298"/>
          <c:h val="6.622275905605824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808084373716781E-2"/>
          <c:y val="6.4268991012035578E-2"/>
          <c:w val="0.8889688857511292"/>
          <c:h val="0.80904991321061293"/>
        </c:manualLayout>
      </c:layout>
      <c:scatterChart>
        <c:scatterStyle val="lineMarker"/>
        <c:varyColors val="0"/>
        <c:ser>
          <c:idx val="0"/>
          <c:order val="0"/>
          <c:tx>
            <c:v>LAC</c:v>
          </c:tx>
          <c:spPr>
            <a:ln w="25400" cap="rnd">
              <a:noFill/>
              <a:round/>
            </a:ln>
            <a:effectLst/>
          </c:spPr>
          <c:marker>
            <c:symbol val="circle"/>
            <c:size val="5"/>
            <c:spPr>
              <a:solidFill>
                <a:schemeClr val="accent5"/>
              </a:solidFill>
              <a:ln w="9525">
                <a:solidFill>
                  <a:schemeClr val="accent5"/>
                </a:solidFill>
              </a:ln>
              <a:effectLst/>
            </c:spPr>
          </c:marker>
          <c:dLbls>
            <c:dLbl>
              <c:idx val="0"/>
              <c:tx>
                <c:rich>
                  <a:bodyPr/>
                  <a:lstStyle/>
                  <a:p>
                    <a:fld id="{5D6EF0A2-F773-40ED-ACE5-DFF5C45660D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2CB8-4F72-8492-A793DEB3BF18}"/>
                </c:ext>
              </c:extLst>
            </c:dLbl>
            <c:dLbl>
              <c:idx val="1"/>
              <c:tx>
                <c:rich>
                  <a:bodyPr/>
                  <a:lstStyle/>
                  <a:p>
                    <a:fld id="{DF67DF86-8E4E-408A-AF6A-636107E6015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2CB8-4F72-8492-A793DEB3BF18}"/>
                </c:ext>
              </c:extLst>
            </c:dLbl>
            <c:dLbl>
              <c:idx val="2"/>
              <c:tx>
                <c:rich>
                  <a:bodyPr/>
                  <a:lstStyle/>
                  <a:p>
                    <a:fld id="{FB3E7C3B-3FD5-4B67-B169-171E83AC2FA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CB8-4F72-8492-A793DEB3BF18}"/>
                </c:ext>
              </c:extLst>
            </c:dLbl>
            <c:dLbl>
              <c:idx val="3"/>
              <c:tx>
                <c:rich>
                  <a:bodyPr/>
                  <a:lstStyle/>
                  <a:p>
                    <a:fld id="{5B35A3F9-770D-46B0-AC44-DA4D99F24F4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CB8-4F72-8492-A793DEB3BF18}"/>
                </c:ext>
              </c:extLst>
            </c:dLbl>
            <c:dLbl>
              <c:idx val="4"/>
              <c:tx>
                <c:rich>
                  <a:bodyPr/>
                  <a:lstStyle/>
                  <a:p>
                    <a:fld id="{C14DEC22-56D5-42C0-9C10-77EE40B63BD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CB8-4F72-8492-A793DEB3BF18}"/>
                </c:ext>
              </c:extLst>
            </c:dLbl>
            <c:dLbl>
              <c:idx val="5"/>
              <c:tx>
                <c:rich>
                  <a:bodyPr/>
                  <a:lstStyle/>
                  <a:p>
                    <a:fld id="{FAE2F4BF-986C-4D3F-9632-ABA16F4DB75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CB8-4F72-8492-A793DEB3BF18}"/>
                </c:ext>
              </c:extLst>
            </c:dLbl>
            <c:dLbl>
              <c:idx val="6"/>
              <c:tx>
                <c:rich>
                  <a:bodyPr/>
                  <a:lstStyle/>
                  <a:p>
                    <a:fld id="{A5750D67-0B11-417B-AE2B-6D94E35A0A0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2CB8-4F72-8492-A793DEB3BF18}"/>
                </c:ext>
              </c:extLst>
            </c:dLbl>
            <c:dLbl>
              <c:idx val="7"/>
              <c:tx>
                <c:rich>
                  <a:bodyPr/>
                  <a:lstStyle/>
                  <a:p>
                    <a:fld id="{97E62E7F-EABA-41E6-83F5-5E438771BC3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2CB8-4F72-8492-A793DEB3BF18}"/>
                </c:ext>
              </c:extLst>
            </c:dLbl>
            <c:dLbl>
              <c:idx val="8"/>
              <c:tx>
                <c:rich>
                  <a:bodyPr/>
                  <a:lstStyle/>
                  <a:p>
                    <a:fld id="{2E58CB35-DD1B-4372-A8A2-71AEC18C6A5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2CB8-4F72-8492-A793DEB3BF18}"/>
                </c:ext>
              </c:extLst>
            </c:dLbl>
            <c:dLbl>
              <c:idx val="9"/>
              <c:layout>
                <c:manualLayout>
                  <c:x val="-3.30365287760108E-2"/>
                  <c:y val="-2.0279901677075208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Calibri Light" panose="020F0302020204030204" pitchFamily="34" charset="0"/>
                        <a:ea typeface="Calibri Light" panose="020F0302020204030204" pitchFamily="34" charset="0"/>
                        <a:cs typeface="Calibri Light" panose="020F0302020204030204" pitchFamily="34" charset="0"/>
                      </a:defRPr>
                    </a:pPr>
                    <a:fld id="{76068FB3-9042-41CF-AA63-8316261A9069}" type="CELLRANGE">
                      <a:rPr lang="en-US"/>
                      <a:pPr>
                        <a:defRPr b="1">
                          <a:solidFill>
                            <a:schemeClr val="accent5"/>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2CB8-4F72-8492-A793DEB3BF18}"/>
                </c:ext>
              </c:extLst>
            </c:dLbl>
            <c:dLbl>
              <c:idx val="10"/>
              <c:layout>
                <c:manualLayout>
                  <c:x val="-3.0033207978191635E-3"/>
                  <c:y val="-1.5773256859947318E-2"/>
                </c:manualLayout>
              </c:layout>
              <c:tx>
                <c:rich>
                  <a:bodyPr/>
                  <a:lstStyle/>
                  <a:p>
                    <a:fld id="{FC6BE984-E101-4A81-AD13-D6C11B8443D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2CB8-4F72-8492-A793DEB3BF18}"/>
                </c:ext>
              </c:extLst>
            </c:dLbl>
            <c:dLbl>
              <c:idx val="11"/>
              <c:layout>
                <c:manualLayout>
                  <c:x val="-9.264164545032115E-2"/>
                  <c:y val="-6.3454076589923632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5"/>
                        </a:solidFill>
                        <a:latin typeface="Calibri Light" panose="020F0302020204030204" pitchFamily="34" charset="0"/>
                        <a:ea typeface="Calibri Light" panose="020F0302020204030204" pitchFamily="34" charset="0"/>
                        <a:cs typeface="Calibri Light" panose="020F0302020204030204" pitchFamily="34" charset="0"/>
                      </a:defRPr>
                    </a:pPr>
                    <a:fld id="{335EDDC8-B71D-4E66-9682-252C5A2796DD}" type="CELLRANGE">
                      <a:rPr lang="en-US"/>
                      <a:pPr>
                        <a:defRPr>
                          <a:solidFill>
                            <a:schemeClr val="accent5"/>
                          </a:solidFill>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5"/>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10176561847965873"/>
                      <c:h val="7.814481695145592E-2"/>
                    </c:manualLayout>
                  </c15:layout>
                  <c15:dlblFieldTable/>
                  <c15:showDataLabelsRange val="1"/>
                </c:ext>
                <c:ext xmlns:c16="http://schemas.microsoft.com/office/drawing/2014/chart" uri="{C3380CC4-5D6E-409C-BE32-E72D297353CC}">
                  <c16:uniqueId val="{0000000B-2CB8-4F72-8492-A793DEB3BF18}"/>
                </c:ext>
              </c:extLst>
            </c:dLbl>
            <c:dLbl>
              <c:idx val="12"/>
              <c:tx>
                <c:rich>
                  <a:bodyPr/>
                  <a:lstStyle/>
                  <a:p>
                    <a:fld id="{45489DA5-56E7-4164-9FD7-ED778FB7834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2CB8-4F72-8492-A793DEB3BF18}"/>
                </c:ext>
              </c:extLst>
            </c:dLbl>
            <c:dLbl>
              <c:idx val="13"/>
              <c:tx>
                <c:rich>
                  <a:bodyPr/>
                  <a:lstStyle/>
                  <a:p>
                    <a:fld id="{660B1CF8-031F-4AAA-9F20-CC21CA28B4D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2CB8-4F72-8492-A793DEB3BF1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bg1">
                          <a:alpha val="0"/>
                        </a:schemeClr>
                      </a:solidFill>
                      <a:round/>
                    </a:ln>
                    <a:effectLst/>
                  </c:spPr>
                </c15:leaderLines>
              </c:ext>
            </c:extLst>
          </c:dLbls>
          <c:xVal>
            <c:numRef>
              <c:f>'Annex 02'!$B$5:$B$18</c:f>
              <c:numCache>
                <c:formatCode>0.00</c:formatCode>
                <c:ptCount val="14"/>
                <c:pt idx="0">
                  <c:v>37.367780209065501</c:v>
                </c:pt>
                <c:pt idx="1">
                  <c:v>38.535472129967005</c:v>
                </c:pt>
                <c:pt idx="2">
                  <c:v>44.851263304493898</c:v>
                </c:pt>
                <c:pt idx="3">
                  <c:v>41.756667945548699</c:v>
                </c:pt>
                <c:pt idx="4">
                  <c:v>45.021136707970896</c:v>
                </c:pt>
                <c:pt idx="5">
                  <c:v>40.337468688723099</c:v>
                </c:pt>
                <c:pt idx="6">
                  <c:v>43.167866037231597</c:v>
                </c:pt>
                <c:pt idx="7">
                  <c:v>34.177180681627704</c:v>
                </c:pt>
                <c:pt idx="8">
                  <c:v>36.487248586690903</c:v>
                </c:pt>
                <c:pt idx="9">
                  <c:v>38.331306370538897</c:v>
                </c:pt>
                <c:pt idx="10">
                  <c:v>37.041460556807898</c:v>
                </c:pt>
                <c:pt idx="11">
                  <c:v>36.252121901158901</c:v>
                </c:pt>
                <c:pt idx="12">
                  <c:v>33.9335778035557</c:v>
                </c:pt>
                <c:pt idx="13">
                  <c:v>36.217989890784501</c:v>
                </c:pt>
              </c:numCache>
            </c:numRef>
          </c:xVal>
          <c:yVal>
            <c:numRef>
              <c:f>'Annex 02'!$C$5:$C$18</c:f>
              <c:numCache>
                <c:formatCode>0.00</c:formatCode>
                <c:ptCount val="14"/>
                <c:pt idx="0">
                  <c:v>41.3068167700564</c:v>
                </c:pt>
                <c:pt idx="1">
                  <c:v>37.955479693792597</c:v>
                </c:pt>
                <c:pt idx="2">
                  <c:v>44.460794620374003</c:v>
                </c:pt>
                <c:pt idx="3">
                  <c:v>38.937311174741801</c:v>
                </c:pt>
                <c:pt idx="4">
                  <c:v>43.175421196438101</c:v>
                </c:pt>
                <c:pt idx="5">
                  <c:v>35.3774908202438</c:v>
                </c:pt>
                <c:pt idx="6">
                  <c:v>39.4070889992594</c:v>
                </c:pt>
                <c:pt idx="7">
                  <c:v>30.6399288357714</c:v>
                </c:pt>
                <c:pt idx="8">
                  <c:v>33.3747554451867</c:v>
                </c:pt>
                <c:pt idx="9">
                  <c:v>38.2198277671569</c:v>
                </c:pt>
                <c:pt idx="10">
                  <c:v>35.1828771357644</c:v>
                </c:pt>
                <c:pt idx="11">
                  <c:v>39.128852233560302</c:v>
                </c:pt>
                <c:pt idx="12">
                  <c:v>34.1264830963067</c:v>
                </c:pt>
                <c:pt idx="13">
                  <c:v>36.576810430191301</c:v>
                </c:pt>
              </c:numCache>
            </c:numRef>
          </c:yVal>
          <c:smooth val="0"/>
          <c:extLst>
            <c:ext xmlns:c15="http://schemas.microsoft.com/office/drawing/2012/chart" uri="{02D57815-91ED-43cb-92C2-25804820EDAC}">
              <c15:datalabelsRange>
                <c15:f>'Annex 02'!$A$5:$A$18</c15:f>
                <c15:dlblRangeCache>
                  <c:ptCount val="14"/>
                  <c:pt idx="0">
                    <c:v>Argentina</c:v>
                  </c:pt>
                  <c:pt idx="1">
                    <c:v>Bolivia</c:v>
                  </c:pt>
                  <c:pt idx="2">
                    <c:v>Brazil</c:v>
                  </c:pt>
                  <c:pt idx="3">
                    <c:v>Chile</c:v>
                  </c:pt>
                  <c:pt idx="4">
                    <c:v>Colombia</c:v>
                  </c:pt>
                  <c:pt idx="5">
                    <c:v>Costa Rica</c:v>
                  </c:pt>
                  <c:pt idx="6">
                    <c:v>Dominican Republic</c:v>
                  </c:pt>
                  <c:pt idx="7">
                    <c:v>Ecuador</c:v>
                  </c:pt>
                  <c:pt idx="8">
                    <c:v>El Salvador</c:v>
                  </c:pt>
                  <c:pt idx="9">
                    <c:v>LAC</c:v>
                  </c:pt>
                  <c:pt idx="10">
                    <c:v>Mexico</c:v>
                  </c:pt>
                  <c:pt idx="11">
                    <c:v>Peru (Lima and Callao)</c:v>
                  </c:pt>
                  <c:pt idx="12">
                    <c:v>Uruguay</c:v>
                  </c:pt>
                  <c:pt idx="13">
                    <c:v>Paraguay</c:v>
                  </c:pt>
                </c15:dlblRangeCache>
              </c15:datalabelsRange>
            </c:ext>
            <c:ext xmlns:c16="http://schemas.microsoft.com/office/drawing/2014/chart" uri="{C3380CC4-5D6E-409C-BE32-E72D297353CC}">
              <c16:uniqueId val="{0000000E-2CB8-4F72-8492-A793DEB3BF18}"/>
            </c:ext>
          </c:extLst>
        </c:ser>
        <c:ser>
          <c:idx val="1"/>
          <c:order val="1"/>
          <c:tx>
            <c:v>Non-LAC</c:v>
          </c:tx>
          <c:spPr>
            <a:ln w="25400" cap="rnd">
              <a:noFill/>
              <a:round/>
            </a:ln>
            <a:effectLst/>
          </c:spPr>
          <c:marker>
            <c:symbol val="circle"/>
            <c:size val="5"/>
            <c:spPr>
              <a:solidFill>
                <a:srgbClr val="002060">
                  <a:alpha val="80000"/>
                </a:srgbClr>
              </a:solidFill>
              <a:ln w="9525">
                <a:solidFill>
                  <a:srgbClr val="002060"/>
                </a:solidFill>
              </a:ln>
              <a:effectLst/>
            </c:spPr>
          </c:marker>
          <c:dPt>
            <c:idx val="2"/>
            <c:marker>
              <c:symbol val="circle"/>
              <c:size val="5"/>
              <c:spPr>
                <a:solidFill>
                  <a:srgbClr val="002060">
                    <a:alpha val="80000"/>
                  </a:srgbClr>
                </a:solidFill>
                <a:ln w="9525">
                  <a:solidFill>
                    <a:srgbClr val="002060"/>
                  </a:solidFill>
                </a:ln>
                <a:effectLst/>
              </c:spPr>
            </c:marker>
            <c:bubble3D val="0"/>
            <c:extLst>
              <c:ext xmlns:c16="http://schemas.microsoft.com/office/drawing/2014/chart" uri="{C3380CC4-5D6E-409C-BE32-E72D297353CC}">
                <c16:uniqueId val="{0000000F-2CB8-4F72-8492-A793DEB3BF18}"/>
              </c:ext>
            </c:extLst>
          </c:dPt>
          <c:dPt>
            <c:idx val="3"/>
            <c:marker>
              <c:symbol val="circle"/>
              <c:size val="5"/>
              <c:spPr>
                <a:solidFill>
                  <a:srgbClr val="002060">
                    <a:alpha val="80000"/>
                  </a:srgbClr>
                </a:solidFill>
                <a:ln w="9525">
                  <a:solidFill>
                    <a:srgbClr val="002060"/>
                  </a:solidFill>
                </a:ln>
                <a:effectLst/>
              </c:spPr>
            </c:marker>
            <c:bubble3D val="0"/>
            <c:extLst>
              <c:ext xmlns:c16="http://schemas.microsoft.com/office/drawing/2014/chart" uri="{C3380CC4-5D6E-409C-BE32-E72D297353CC}">
                <c16:uniqueId val="{00000010-2CB8-4F72-8492-A793DEB3BF18}"/>
              </c:ext>
            </c:extLst>
          </c:dPt>
          <c:dPt>
            <c:idx val="4"/>
            <c:marker>
              <c:symbol val="circle"/>
              <c:size val="5"/>
              <c:spPr>
                <a:solidFill>
                  <a:srgbClr val="002060">
                    <a:alpha val="80000"/>
                  </a:srgbClr>
                </a:solidFill>
                <a:ln w="9525">
                  <a:solidFill>
                    <a:srgbClr val="002060"/>
                  </a:solidFill>
                </a:ln>
                <a:effectLst/>
              </c:spPr>
            </c:marker>
            <c:bubble3D val="0"/>
            <c:extLst>
              <c:ext xmlns:c16="http://schemas.microsoft.com/office/drawing/2014/chart" uri="{C3380CC4-5D6E-409C-BE32-E72D297353CC}">
                <c16:uniqueId val="{00000011-2CB8-4F72-8492-A793DEB3BF18}"/>
              </c:ext>
            </c:extLst>
          </c:dPt>
          <c:dLbls>
            <c:dLbl>
              <c:idx val="0"/>
              <c:tx>
                <c:rich>
                  <a:bodyPr/>
                  <a:lstStyle/>
                  <a:p>
                    <a:fld id="{379E77FE-B668-4A84-8FA9-A41E4D17B93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2CB8-4F72-8492-A793DEB3BF18}"/>
                </c:ext>
              </c:extLst>
            </c:dLbl>
            <c:dLbl>
              <c:idx val="1"/>
              <c:tx>
                <c:rich>
                  <a:bodyPr/>
                  <a:lstStyle/>
                  <a:p>
                    <a:fld id="{3C2B4372-1553-420C-89E4-129D6A0C19E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2CB8-4F72-8492-A793DEB3BF18}"/>
                </c:ext>
              </c:extLst>
            </c:dLbl>
            <c:dLbl>
              <c:idx val="2"/>
              <c:layout>
                <c:manualLayout>
                  <c:x val="-7.5083019945479086E-3"/>
                  <c:y val="1.1266612042819512E-2"/>
                </c:manualLayout>
              </c:layout>
              <c:tx>
                <c:rich>
                  <a:bodyPr/>
                  <a:lstStyle/>
                  <a:p>
                    <a:fld id="{3B34EA0C-0803-496B-8B4C-46CDC1A984E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2CB8-4F72-8492-A793DEB3BF18}"/>
                </c:ext>
              </c:extLst>
            </c:dLbl>
            <c:dLbl>
              <c:idx val="3"/>
              <c:tx>
                <c:rich>
                  <a:bodyPr/>
                  <a:lstStyle/>
                  <a:p>
                    <a:fld id="{718FF2B1-DF19-4DBE-A79D-5CC3A416623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2CB8-4F72-8492-A793DEB3BF18}"/>
                </c:ext>
              </c:extLst>
            </c:dLbl>
            <c:dLbl>
              <c:idx val="4"/>
              <c:tx>
                <c:rich>
                  <a:bodyPr/>
                  <a:lstStyle/>
                  <a:p>
                    <a:fld id="{044FFC93-DFD0-4C4D-94A1-20CCA7FA811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2CB8-4F72-8492-A793DEB3BF18}"/>
                </c:ext>
              </c:extLst>
            </c:dLbl>
            <c:dLbl>
              <c:idx val="5"/>
              <c:tx>
                <c:rich>
                  <a:bodyPr/>
                  <a:lstStyle/>
                  <a:p>
                    <a:fld id="{3A68B7BF-75DC-4FA9-9465-4E403883FD8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2CB8-4F72-8492-A793DEB3BF18}"/>
                </c:ext>
              </c:extLst>
            </c:dLbl>
            <c:dLbl>
              <c:idx val="6"/>
              <c:layout>
                <c:manualLayout>
                  <c:x val="-3.2345031325652874E-3"/>
                  <c:y val="1.8395109942466396E-2"/>
                </c:manualLayout>
              </c:layout>
              <c:tx>
                <c:rich>
                  <a:bodyPr/>
                  <a:lstStyle/>
                  <a:p>
                    <a:fld id="{DC53C3C9-D316-4D71-A4BF-A2F849F800A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2CB8-4F72-8492-A793DEB3BF18}"/>
                </c:ext>
              </c:extLst>
            </c:dLbl>
            <c:dLbl>
              <c:idx val="7"/>
              <c:layout>
                <c:manualLayout>
                  <c:x val="6.0066415956382168E-3"/>
                  <c:y val="6.7599672256917079E-3"/>
                </c:manualLayout>
              </c:layout>
              <c:tx>
                <c:rich>
                  <a:bodyPr/>
                  <a:lstStyle/>
                  <a:p>
                    <a:fld id="{D88D5A13-FF7C-4383-ACEE-50BC513B945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2CB8-4F72-8492-A793DEB3BF18}"/>
                </c:ext>
              </c:extLst>
            </c:dLbl>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accent5">
                          <a:lumMod val="60000"/>
                          <a:lumOff val="40000"/>
                          <a:alpha val="0"/>
                        </a:schemeClr>
                      </a:solidFill>
                      <a:round/>
                    </a:ln>
                    <a:effectLst/>
                  </c:spPr>
                </c15:leaderLines>
              </c:ext>
            </c:extLst>
          </c:dLbls>
          <c:xVal>
            <c:numRef>
              <c:f>'Annex 02'!$J$4:$J$11</c:f>
              <c:numCache>
                <c:formatCode>0.00</c:formatCode>
                <c:ptCount val="8"/>
                <c:pt idx="0">
                  <c:v>34.182703248183699</c:v>
                </c:pt>
                <c:pt idx="1">
                  <c:v>31.216534291186697</c:v>
                </c:pt>
                <c:pt idx="2">
                  <c:v>35.903265087285</c:v>
                </c:pt>
                <c:pt idx="3">
                  <c:v>44.130992357389999</c:v>
                </c:pt>
                <c:pt idx="4">
                  <c:v>41.092089829728302</c:v>
                </c:pt>
                <c:pt idx="5">
                  <c:v>25.151212485283398</c:v>
                </c:pt>
                <c:pt idx="6">
                  <c:v>37.611860624458998</c:v>
                </c:pt>
                <c:pt idx="7">
                  <c:v>37.468723090029997</c:v>
                </c:pt>
              </c:numCache>
            </c:numRef>
          </c:xVal>
          <c:yVal>
            <c:numRef>
              <c:f>'Annex 02'!$L$4:$L$11</c:f>
              <c:numCache>
                <c:formatCode>0.00</c:formatCode>
                <c:ptCount val="8"/>
                <c:pt idx="0">
                  <c:v>29.542143843524798</c:v>
                </c:pt>
                <c:pt idx="1">
                  <c:v>35.3915235216258</c:v>
                </c:pt>
                <c:pt idx="2">
                  <c:v>34.6687023668973</c:v>
                </c:pt>
                <c:pt idx="3">
                  <c:v>42.077523082401299</c:v>
                </c:pt>
                <c:pt idx="4">
                  <c:v>45.098563811032101</c:v>
                </c:pt>
                <c:pt idx="5">
                  <c:v>27.448410422023201</c:v>
                </c:pt>
                <c:pt idx="6">
                  <c:v>33.238346303440899</c:v>
                </c:pt>
                <c:pt idx="7">
                  <c:v>34.895537006505798</c:v>
                </c:pt>
              </c:numCache>
            </c:numRef>
          </c:yVal>
          <c:smooth val="0"/>
          <c:extLst>
            <c:ext xmlns:c15="http://schemas.microsoft.com/office/drawing/2012/chart" uri="{02D57815-91ED-43cb-92C2-25804820EDAC}">
              <c15:datalabelsRange>
                <c15:f>'Annex 02'!$H$4:$H$11</c15:f>
                <c15:dlblRangeCache>
                  <c:ptCount val="8"/>
                  <c:pt idx="0">
                    <c:v>Armenia</c:v>
                  </c:pt>
                  <c:pt idx="1">
                    <c:v>Bangladesh</c:v>
                  </c:pt>
                  <c:pt idx="2">
                    <c:v>Georgia</c:v>
                  </c:pt>
                  <c:pt idx="3">
                    <c:v>India</c:v>
                  </c:pt>
                  <c:pt idx="4">
                    <c:v>Sri Lanka</c:v>
                  </c:pt>
                  <c:pt idx="5">
                    <c:v>Mongolia</c:v>
                  </c:pt>
                  <c:pt idx="6">
                    <c:v>Philippines</c:v>
                  </c:pt>
                  <c:pt idx="7">
                    <c:v>Thailand</c:v>
                  </c:pt>
                </c15:dlblRangeCache>
              </c15:datalabelsRange>
            </c:ext>
            <c:ext xmlns:c16="http://schemas.microsoft.com/office/drawing/2014/chart" uri="{C3380CC4-5D6E-409C-BE32-E72D297353CC}">
              <c16:uniqueId val="{00000017-2CB8-4F72-8492-A793DEB3BF18}"/>
            </c:ext>
          </c:extLst>
        </c:ser>
        <c:ser>
          <c:idx val="2"/>
          <c:order val="2"/>
          <c:tx>
            <c:v>45 degree</c:v>
          </c:tx>
          <c:spPr>
            <a:ln w="25400" cap="rnd">
              <a:noFill/>
              <a:round/>
            </a:ln>
            <a:effectLst/>
          </c:spPr>
          <c:marker>
            <c:symbol val="none"/>
          </c:marker>
          <c:trendline>
            <c:spPr>
              <a:ln w="19050" cap="rnd">
                <a:solidFill>
                  <a:schemeClr val="accent3"/>
                </a:solidFill>
                <a:prstDash val="sysDot"/>
              </a:ln>
              <a:effectLst/>
            </c:spPr>
            <c:trendlineType val="linear"/>
            <c:dispRSqr val="0"/>
            <c:dispEq val="0"/>
          </c:trendline>
          <c:xVal>
            <c:numRef>
              <c:f>('Annex 02'!$J$4:$J$11,'Annex 02'!$B$5:$B$18)</c:f>
              <c:numCache>
                <c:formatCode>0.00</c:formatCode>
                <c:ptCount val="22"/>
                <c:pt idx="0">
                  <c:v>34.182703248183699</c:v>
                </c:pt>
                <c:pt idx="1">
                  <c:v>31.216534291186697</c:v>
                </c:pt>
                <c:pt idx="2">
                  <c:v>35.903265087285</c:v>
                </c:pt>
                <c:pt idx="3">
                  <c:v>44.130992357389999</c:v>
                </c:pt>
                <c:pt idx="4">
                  <c:v>41.092089829728302</c:v>
                </c:pt>
                <c:pt idx="5">
                  <c:v>25.151212485283398</c:v>
                </c:pt>
                <c:pt idx="6">
                  <c:v>37.611860624458998</c:v>
                </c:pt>
                <c:pt idx="7">
                  <c:v>37.468723090029997</c:v>
                </c:pt>
                <c:pt idx="8">
                  <c:v>37.367780209065501</c:v>
                </c:pt>
                <c:pt idx="9">
                  <c:v>38.535472129967005</c:v>
                </c:pt>
                <c:pt idx="10">
                  <c:v>44.851263304493898</c:v>
                </c:pt>
                <c:pt idx="11">
                  <c:v>41.756667945548699</c:v>
                </c:pt>
                <c:pt idx="12">
                  <c:v>45.021136707970896</c:v>
                </c:pt>
                <c:pt idx="13">
                  <c:v>40.337468688723099</c:v>
                </c:pt>
                <c:pt idx="14">
                  <c:v>43.167866037231597</c:v>
                </c:pt>
                <c:pt idx="15">
                  <c:v>34.177180681627704</c:v>
                </c:pt>
                <c:pt idx="16">
                  <c:v>36.487248586690903</c:v>
                </c:pt>
                <c:pt idx="17">
                  <c:v>38.331306370538897</c:v>
                </c:pt>
                <c:pt idx="18">
                  <c:v>37.041460556807898</c:v>
                </c:pt>
                <c:pt idx="19">
                  <c:v>36.252121901158901</c:v>
                </c:pt>
                <c:pt idx="20">
                  <c:v>33.9335778035557</c:v>
                </c:pt>
                <c:pt idx="21">
                  <c:v>36.217989890784501</c:v>
                </c:pt>
              </c:numCache>
            </c:numRef>
          </c:xVal>
          <c:yVal>
            <c:numRef>
              <c:f>('Annex 02'!$J$4:$J$11,'Annex 02'!$B$5:$B$18)</c:f>
              <c:numCache>
                <c:formatCode>0.00</c:formatCode>
                <c:ptCount val="22"/>
                <c:pt idx="0">
                  <c:v>34.182703248183699</c:v>
                </c:pt>
                <c:pt idx="1">
                  <c:v>31.216534291186697</c:v>
                </c:pt>
                <c:pt idx="2">
                  <c:v>35.903265087285</c:v>
                </c:pt>
                <c:pt idx="3">
                  <c:v>44.130992357389999</c:v>
                </c:pt>
                <c:pt idx="4">
                  <c:v>41.092089829728302</c:v>
                </c:pt>
                <c:pt idx="5">
                  <c:v>25.151212485283398</c:v>
                </c:pt>
                <c:pt idx="6">
                  <c:v>37.611860624458998</c:v>
                </c:pt>
                <c:pt idx="7">
                  <c:v>37.468723090029997</c:v>
                </c:pt>
                <c:pt idx="8">
                  <c:v>37.367780209065501</c:v>
                </c:pt>
                <c:pt idx="9">
                  <c:v>38.535472129967005</c:v>
                </c:pt>
                <c:pt idx="10">
                  <c:v>44.851263304493898</c:v>
                </c:pt>
                <c:pt idx="11">
                  <c:v>41.756667945548699</c:v>
                </c:pt>
                <c:pt idx="12">
                  <c:v>45.021136707970896</c:v>
                </c:pt>
                <c:pt idx="13">
                  <c:v>40.337468688723099</c:v>
                </c:pt>
                <c:pt idx="14">
                  <c:v>43.167866037231597</c:v>
                </c:pt>
                <c:pt idx="15">
                  <c:v>34.177180681627704</c:v>
                </c:pt>
                <c:pt idx="16">
                  <c:v>36.487248586690903</c:v>
                </c:pt>
                <c:pt idx="17">
                  <c:v>38.331306370538897</c:v>
                </c:pt>
                <c:pt idx="18">
                  <c:v>37.041460556807898</c:v>
                </c:pt>
                <c:pt idx="19">
                  <c:v>36.252121901158901</c:v>
                </c:pt>
                <c:pt idx="20">
                  <c:v>33.9335778035557</c:v>
                </c:pt>
                <c:pt idx="21">
                  <c:v>36.217989890784501</c:v>
                </c:pt>
              </c:numCache>
            </c:numRef>
          </c:yVal>
          <c:smooth val="0"/>
          <c:extLst>
            <c:ext xmlns:c16="http://schemas.microsoft.com/office/drawing/2014/chart" uri="{C3380CC4-5D6E-409C-BE32-E72D297353CC}">
              <c16:uniqueId val="{0000001B-2CB8-4F72-8492-A793DEB3BF18}"/>
            </c:ext>
          </c:extLst>
        </c:ser>
        <c:dLbls>
          <c:showLegendKey val="0"/>
          <c:showVal val="0"/>
          <c:showCatName val="0"/>
          <c:showSerName val="0"/>
          <c:showPercent val="0"/>
          <c:showBubbleSize val="0"/>
        </c:dLbls>
        <c:axId val="914322400"/>
        <c:axId val="914322880"/>
      </c:scatterChart>
      <c:valAx>
        <c:axId val="914322400"/>
        <c:scaling>
          <c:orientation val="minMax"/>
          <c:min val="25"/>
        </c:scaling>
        <c:delete val="0"/>
        <c:axPos val="b"/>
        <c:title>
          <c:tx>
            <c:rich>
              <a:bodyPr rot="0" spcFirstLastPara="1" vertOverflow="ellipsis" vert="horz" wrap="square" anchor="ctr" anchorCtr="1"/>
              <a:lstStyle/>
              <a:p>
                <a:pPr>
                  <a:defRPr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a:solidFill>
                      <a:schemeClr val="tx1"/>
                    </a:solidFill>
                    <a:latin typeface="Calibri" panose="020F0502020204030204" pitchFamily="34" charset="0"/>
                    <a:ea typeface="Calibri" panose="020F0502020204030204" pitchFamily="34" charset="0"/>
                    <a:cs typeface="Calibri" panose="020F0502020204030204" pitchFamily="34" charset="0"/>
                  </a:rPr>
                  <a:t>Gini in hourly wage earnings, 2016</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crossAx val="914322880"/>
        <c:crosses val="autoZero"/>
        <c:crossBetween val="midCat"/>
      </c:valAx>
      <c:valAx>
        <c:axId val="914322880"/>
        <c:scaling>
          <c:orientation val="minMax"/>
          <c:min val="25"/>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a:solidFill>
                      <a:schemeClr val="tx1"/>
                    </a:solidFill>
                    <a:latin typeface="Calibri" panose="020F0502020204030204" pitchFamily="34" charset="0"/>
                    <a:ea typeface="Calibri" panose="020F0502020204030204" pitchFamily="34" charset="0"/>
                    <a:cs typeface="Calibri" panose="020F0502020204030204" pitchFamily="34" charset="0"/>
                  </a:rPr>
                  <a:t>Gini in hourly wage earnings, 2024</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crossAx val="914322400"/>
        <c:crosses val="autoZero"/>
        <c:crossBetween val="midCat"/>
      </c:valAx>
      <c:spPr>
        <a:noFill/>
        <a:ln>
          <a:noFill/>
        </a:ln>
        <a:effectLst/>
      </c:spPr>
    </c:plotArea>
    <c:legend>
      <c:legendPos val="tr"/>
      <c:legendEntry>
        <c:idx val="2"/>
        <c:delete val="1"/>
      </c:legendEntry>
      <c:legendEntry>
        <c:idx val="3"/>
        <c:delete val="1"/>
      </c:legendEntry>
      <c:overlay val="1"/>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spPr>
      <a:ln>
        <a:solidFill>
          <a:schemeClr val="tx1">
            <a:lumMod val="15000"/>
            <a:lumOff val="85000"/>
          </a:schemeClr>
        </a:solidFill>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31750">
        <a:solidFill>
          <a:schemeClr val="phClr">
            <a:alpha val="70000"/>
          </a:schemeClr>
        </a:solidFill>
      </a:ln>
    </cs:spPr>
  </cs:dataPoint>
  <cs:dataPoint3D>
    <cs:lnRef idx="0">
      <cs:styleClr val="auto"/>
    </cs:lnRef>
    <cs:fillRef idx="0">
      <cs:styleClr val="auto"/>
    </cs:fillRef>
    <cs:effectRef idx="0"/>
    <cs:fontRef idx="minor">
      <a:schemeClr val="dk1"/>
    </cs:fontRef>
    <cs:spPr>
      <a:noFill/>
      <a:ln w="31750">
        <a:solidFill>
          <a:schemeClr val="phClr">
            <a:alpha val="70000"/>
          </a:scheme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a:solidFill>
          <a:schemeClr val="tx1">
            <a:lumMod val="15000"/>
            <a:lumOff val="85000"/>
          </a:schemeClr>
        </a:solidFill>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a:solidFill>
          <a:schemeClr val="tx1">
            <a:lumMod val="25000"/>
            <a:lumOff val="75000"/>
          </a:schemeClr>
        </a:solid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7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spPr>
      <a:ln>
        <a:solidFill>
          <a:schemeClr val="tx1">
            <a:lumMod val="15000"/>
            <a:lumOff val="85000"/>
          </a:schemeClr>
        </a:solidFill>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31750">
        <a:solidFill>
          <a:schemeClr val="phClr">
            <a:alpha val="70000"/>
          </a:schemeClr>
        </a:solidFill>
      </a:ln>
    </cs:spPr>
  </cs:dataPoint>
  <cs:dataPoint3D>
    <cs:lnRef idx="0">
      <cs:styleClr val="auto"/>
    </cs:lnRef>
    <cs:fillRef idx="0">
      <cs:styleClr val="auto"/>
    </cs:fillRef>
    <cs:effectRef idx="0"/>
    <cs:fontRef idx="minor">
      <a:schemeClr val="dk1"/>
    </cs:fontRef>
    <cs:spPr>
      <a:noFill/>
      <a:ln w="31750">
        <a:solidFill>
          <a:schemeClr val="phClr">
            <a:alpha val="70000"/>
          </a:scheme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a:solidFill>
          <a:schemeClr val="tx1">
            <a:lumMod val="15000"/>
            <a:lumOff val="85000"/>
          </a:schemeClr>
        </a:solidFill>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a:solidFill>
          <a:schemeClr val="tx1">
            <a:lumMod val="25000"/>
            <a:lumOff val="75000"/>
          </a:schemeClr>
        </a:solid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8</xdr:col>
      <xdr:colOff>237444</xdr:colOff>
      <xdr:row>22</xdr:row>
      <xdr:rowOff>75520</xdr:rowOff>
    </xdr:from>
    <xdr:to>
      <xdr:col>21</xdr:col>
      <xdr:colOff>208869</xdr:colOff>
      <xdr:row>44</xdr:row>
      <xdr:rowOff>114301</xdr:rowOff>
    </xdr:to>
    <xdr:graphicFrame macro="">
      <xdr:nvGraphicFramePr>
        <xdr:cNvPr id="2" name="Chart 1">
          <a:extLst>
            <a:ext uri="{FF2B5EF4-FFF2-40B4-BE49-F238E27FC236}">
              <a16:creationId xmlns:a16="http://schemas.microsoft.com/office/drawing/2014/main" id="{9D2E189E-9EDF-4E55-8726-DDBBAD43FE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20158</xdr:colOff>
      <xdr:row>101</xdr:row>
      <xdr:rowOff>67926</xdr:rowOff>
    </xdr:from>
    <xdr:to>
      <xdr:col>11</xdr:col>
      <xdr:colOff>187158</xdr:colOff>
      <xdr:row>129</xdr:row>
      <xdr:rowOff>14859</xdr:rowOff>
    </xdr:to>
    <xdr:graphicFrame macro="">
      <xdr:nvGraphicFramePr>
        <xdr:cNvPr id="2" name="Chart 1">
          <a:extLst>
            <a:ext uri="{FF2B5EF4-FFF2-40B4-BE49-F238E27FC236}">
              <a16:creationId xmlns:a16="http://schemas.microsoft.com/office/drawing/2014/main" id="{CAD06BD2-050E-47A8-90C8-4C586BB25D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25349</xdr:colOff>
      <xdr:row>4</xdr:row>
      <xdr:rowOff>39711</xdr:rowOff>
    </xdr:from>
    <xdr:to>
      <xdr:col>11</xdr:col>
      <xdr:colOff>690282</xdr:colOff>
      <xdr:row>35</xdr:row>
      <xdr:rowOff>107156</xdr:rowOff>
    </xdr:to>
    <xdr:graphicFrame macro="">
      <xdr:nvGraphicFramePr>
        <xdr:cNvPr id="2" name="Chart 1">
          <a:extLst>
            <a:ext uri="{FF2B5EF4-FFF2-40B4-BE49-F238E27FC236}">
              <a16:creationId xmlns:a16="http://schemas.microsoft.com/office/drawing/2014/main" id="{2DAB214B-AD4E-42EC-ABDC-497F93D67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149169</xdr:colOff>
      <xdr:row>21</xdr:row>
      <xdr:rowOff>94726</xdr:rowOff>
    </xdr:from>
    <xdr:to>
      <xdr:col>23</xdr:col>
      <xdr:colOff>827966</xdr:colOff>
      <xdr:row>47</xdr:row>
      <xdr:rowOff>134522</xdr:rowOff>
    </xdr:to>
    <xdr:graphicFrame macro="">
      <xdr:nvGraphicFramePr>
        <xdr:cNvPr id="2" name="Chart 1">
          <a:extLst>
            <a:ext uri="{FF2B5EF4-FFF2-40B4-BE49-F238E27FC236}">
              <a16:creationId xmlns:a16="http://schemas.microsoft.com/office/drawing/2014/main" id="{6DABE1C9-C358-41EB-9758-4CAC509C20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9525</xdr:colOff>
      <xdr:row>4</xdr:row>
      <xdr:rowOff>19049</xdr:rowOff>
    </xdr:from>
    <xdr:to>
      <xdr:col>18</xdr:col>
      <xdr:colOff>538164</xdr:colOff>
      <xdr:row>25</xdr:row>
      <xdr:rowOff>171450</xdr:rowOff>
    </xdr:to>
    <xdr:graphicFrame macro="">
      <xdr:nvGraphicFramePr>
        <xdr:cNvPr id="2" name="Chart 1">
          <a:extLst>
            <a:ext uri="{FF2B5EF4-FFF2-40B4-BE49-F238E27FC236}">
              <a16:creationId xmlns:a16="http://schemas.microsoft.com/office/drawing/2014/main" id="{4177B93F-1272-479B-87D4-39300CCE9B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21077</xdr:colOff>
      <xdr:row>15</xdr:row>
      <xdr:rowOff>45324</xdr:rowOff>
    </xdr:from>
    <xdr:to>
      <xdr:col>16</xdr:col>
      <xdr:colOff>2694214</xdr:colOff>
      <xdr:row>50</xdr:row>
      <xdr:rowOff>54428</xdr:rowOff>
    </xdr:to>
    <xdr:graphicFrame macro="">
      <xdr:nvGraphicFramePr>
        <xdr:cNvPr id="2" name="Chart 4">
          <a:extLst>
            <a:ext uri="{FF2B5EF4-FFF2-40B4-BE49-F238E27FC236}">
              <a16:creationId xmlns:a16="http://schemas.microsoft.com/office/drawing/2014/main" id="{9E2B36F6-5C40-40CF-886A-F30780713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631337</xdr:colOff>
      <xdr:row>8</xdr:row>
      <xdr:rowOff>21980</xdr:rowOff>
    </xdr:from>
    <xdr:to>
      <xdr:col>26</xdr:col>
      <xdr:colOff>1311</xdr:colOff>
      <xdr:row>46</xdr:row>
      <xdr:rowOff>41803</xdr:rowOff>
    </xdr:to>
    <xdr:graphicFrame macro="">
      <xdr:nvGraphicFramePr>
        <xdr:cNvPr id="2" name="Chart 4">
          <a:extLst>
            <a:ext uri="{FF2B5EF4-FFF2-40B4-BE49-F238E27FC236}">
              <a16:creationId xmlns:a16="http://schemas.microsoft.com/office/drawing/2014/main" id="{609DEB1A-FFFC-472F-9423-86BCB6DFC1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1043908</xdr:colOff>
      <xdr:row>30</xdr:row>
      <xdr:rowOff>34412</xdr:rowOff>
    </xdr:from>
    <xdr:to>
      <xdr:col>8</xdr:col>
      <xdr:colOff>207398</xdr:colOff>
      <xdr:row>62</xdr:row>
      <xdr:rowOff>61451</xdr:rowOff>
    </xdr:to>
    <xdr:grpSp>
      <xdr:nvGrpSpPr>
        <xdr:cNvPr id="4" name="Group 3">
          <a:extLst>
            <a:ext uri="{FF2B5EF4-FFF2-40B4-BE49-F238E27FC236}">
              <a16:creationId xmlns:a16="http://schemas.microsoft.com/office/drawing/2014/main" id="{F96D2FE3-C1A9-A601-A9B0-7E814AEDF693}"/>
            </a:ext>
          </a:extLst>
        </xdr:cNvPr>
        <xdr:cNvGrpSpPr/>
      </xdr:nvGrpSpPr>
      <xdr:grpSpPr>
        <a:xfrm>
          <a:off x="1043908" y="3326252"/>
          <a:ext cx="7705510" cy="5879199"/>
          <a:chOff x="1043908" y="3463412"/>
          <a:chExt cx="7412140" cy="6123039"/>
        </a:xfrm>
      </xdr:grpSpPr>
      <xdr:graphicFrame macro="">
        <xdr:nvGraphicFramePr>
          <xdr:cNvPr id="2" name="Chart 1">
            <a:extLst>
              <a:ext uri="{FF2B5EF4-FFF2-40B4-BE49-F238E27FC236}">
                <a16:creationId xmlns:a16="http://schemas.microsoft.com/office/drawing/2014/main" id="{23B33DE0-A125-4AD3-953A-C841B4AFC4B2}"/>
              </a:ext>
            </a:extLst>
          </xdr:cNvPr>
          <xdr:cNvGraphicFramePr>
            <a:graphicFrameLocks/>
          </xdr:cNvGraphicFramePr>
        </xdr:nvGraphicFramePr>
        <xdr:xfrm>
          <a:off x="1044676" y="3463412"/>
          <a:ext cx="7411372" cy="2846133"/>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7">
            <a:extLst>
              <a:ext uri="{FF2B5EF4-FFF2-40B4-BE49-F238E27FC236}">
                <a16:creationId xmlns:a16="http://schemas.microsoft.com/office/drawing/2014/main" id="{79ECF8EA-4A0B-4C56-B278-287CD69A3B52}"/>
              </a:ext>
            </a:extLst>
          </xdr:cNvPr>
          <xdr:cNvGraphicFramePr>
            <a:graphicFrameLocks/>
          </xdr:cNvGraphicFramePr>
        </xdr:nvGraphicFramePr>
        <xdr:xfrm>
          <a:off x="1043908" y="6305242"/>
          <a:ext cx="7404458" cy="3281209"/>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wsDr>
</file>

<file path=xl/drawings/drawing9.xml><?xml version="1.0" encoding="utf-8"?>
<xdr:wsDr xmlns:xdr="http://schemas.openxmlformats.org/drawingml/2006/spreadsheetDrawing" xmlns:a="http://schemas.openxmlformats.org/drawingml/2006/main">
  <xdr:twoCellAnchor>
    <xdr:from>
      <xdr:col>20</xdr:col>
      <xdr:colOff>33936</xdr:colOff>
      <xdr:row>2</xdr:row>
      <xdr:rowOff>74496</xdr:rowOff>
    </xdr:from>
    <xdr:to>
      <xdr:col>32</xdr:col>
      <xdr:colOff>184149</xdr:colOff>
      <xdr:row>32</xdr:row>
      <xdr:rowOff>42862</xdr:rowOff>
    </xdr:to>
    <xdr:graphicFrame macro="">
      <xdr:nvGraphicFramePr>
        <xdr:cNvPr id="2" name="Chart 1">
          <a:extLst>
            <a:ext uri="{FF2B5EF4-FFF2-40B4-BE49-F238E27FC236}">
              <a16:creationId xmlns:a16="http://schemas.microsoft.com/office/drawing/2014/main" id="{84CF35B6-3EEF-4743-8C71-C71421E704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26</xdr:col>
      <xdr:colOff>211379</xdr:colOff>
      <xdr:row>22</xdr:row>
      <xdr:rowOff>112560</xdr:rowOff>
    </xdr:from>
    <xdr:ext cx="233205" cy="763799"/>
    <xdr:sp macro="" textlink="">
      <xdr:nvSpPr>
        <xdr:cNvPr id="3" name="TextBox 2">
          <a:extLst>
            <a:ext uri="{FF2B5EF4-FFF2-40B4-BE49-F238E27FC236}">
              <a16:creationId xmlns:a16="http://schemas.microsoft.com/office/drawing/2014/main" id="{63802CC7-81C2-409D-B22C-532209C7D3FB}"/>
            </a:ext>
          </a:extLst>
        </xdr:cNvPr>
        <xdr:cNvSpPr txBox="1"/>
      </xdr:nvSpPr>
      <xdr:spPr>
        <a:xfrm rot="16200000">
          <a:off x="9299632" y="4359307"/>
          <a:ext cx="763799" cy="23320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t>High Income</a:t>
          </a:r>
        </a:p>
      </xdr:txBody>
    </xdr:sp>
    <xdr:clientData/>
  </xdr:oneCellAnchor>
  <xdr:oneCellAnchor>
    <xdr:from>
      <xdr:col>24</xdr:col>
      <xdr:colOff>96562</xdr:colOff>
      <xdr:row>22</xdr:row>
      <xdr:rowOff>98180</xdr:rowOff>
    </xdr:from>
    <xdr:ext cx="233205" cy="670825"/>
    <xdr:sp macro="" textlink="">
      <xdr:nvSpPr>
        <xdr:cNvPr id="4" name="TextBox 3">
          <a:extLst>
            <a:ext uri="{FF2B5EF4-FFF2-40B4-BE49-F238E27FC236}">
              <a16:creationId xmlns:a16="http://schemas.microsoft.com/office/drawing/2014/main" id="{DD57249A-281E-4A23-B60E-EF4235D61D02}"/>
            </a:ext>
          </a:extLst>
        </xdr:cNvPr>
        <xdr:cNvSpPr txBox="1"/>
      </xdr:nvSpPr>
      <xdr:spPr>
        <a:xfrm rot="16200000">
          <a:off x="7935902" y="4298440"/>
          <a:ext cx="670825" cy="23320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t>South Asia</a:t>
          </a:r>
        </a:p>
      </xdr:txBody>
    </xdr:sp>
    <xdr:clientData/>
  </xdr:oneCellAnchor>
  <xdr:oneCellAnchor>
    <xdr:from>
      <xdr:col>28</xdr:col>
      <xdr:colOff>346683</xdr:colOff>
      <xdr:row>22</xdr:row>
      <xdr:rowOff>80192</xdr:rowOff>
    </xdr:from>
    <xdr:ext cx="233205" cy="1180772"/>
    <xdr:sp macro="" textlink="">
      <xdr:nvSpPr>
        <xdr:cNvPr id="5" name="TextBox 4">
          <a:extLst>
            <a:ext uri="{FF2B5EF4-FFF2-40B4-BE49-F238E27FC236}">
              <a16:creationId xmlns:a16="http://schemas.microsoft.com/office/drawing/2014/main" id="{4CD35C46-EE2A-42DF-8C27-3405DC165B65}"/>
            </a:ext>
          </a:extLst>
        </xdr:cNvPr>
        <xdr:cNvSpPr txBox="1"/>
      </xdr:nvSpPr>
      <xdr:spPr>
        <a:xfrm rot="16200000">
          <a:off x="10521850" y="4535425"/>
          <a:ext cx="1180772" cy="23320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t>Europe &amp; Central Asia</a:t>
          </a:r>
        </a:p>
      </xdr:txBody>
    </xdr:sp>
    <xdr:clientData/>
  </xdr:oneCellAnchor>
  <xdr:oneCellAnchor>
    <xdr:from>
      <xdr:col>30</xdr:col>
      <xdr:colOff>469203</xdr:colOff>
      <xdr:row>22</xdr:row>
      <xdr:rowOff>82493</xdr:rowOff>
    </xdr:from>
    <xdr:ext cx="233205" cy="1067728"/>
    <xdr:sp macro="" textlink="">
      <xdr:nvSpPr>
        <xdr:cNvPr id="6" name="TextBox 5">
          <a:extLst>
            <a:ext uri="{FF2B5EF4-FFF2-40B4-BE49-F238E27FC236}">
              <a16:creationId xmlns:a16="http://schemas.microsoft.com/office/drawing/2014/main" id="{BC8BB028-C624-4653-8E53-46050F9D294D}"/>
            </a:ext>
          </a:extLst>
        </xdr:cNvPr>
        <xdr:cNvSpPr txBox="1"/>
      </xdr:nvSpPr>
      <xdr:spPr>
        <a:xfrm rot="16200000">
          <a:off x="11996292" y="4481204"/>
          <a:ext cx="1067728" cy="23320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t>Sub-Saharan</a:t>
          </a:r>
          <a:r>
            <a:rPr lang="en-US" sz="900" baseline="0"/>
            <a:t> Africa</a:t>
          </a:r>
          <a:endParaRPr lang="en-US" sz="900"/>
        </a:p>
      </xdr:txBody>
    </xdr:sp>
    <xdr:clientData/>
  </xdr:oneCellAnchor>
  <xdr:oneCellAnchor>
    <xdr:from>
      <xdr:col>32</xdr:col>
      <xdr:colOff>248226</xdr:colOff>
      <xdr:row>22</xdr:row>
      <xdr:rowOff>104426</xdr:rowOff>
    </xdr:from>
    <xdr:ext cx="233205" cy="1378967"/>
    <xdr:sp macro="" textlink="">
      <xdr:nvSpPr>
        <xdr:cNvPr id="7" name="TextBox 6">
          <a:extLst>
            <a:ext uri="{FF2B5EF4-FFF2-40B4-BE49-F238E27FC236}">
              <a16:creationId xmlns:a16="http://schemas.microsoft.com/office/drawing/2014/main" id="{96359DB5-DB84-48DB-9429-A48AE63F8DBF}"/>
            </a:ext>
          </a:extLst>
        </xdr:cNvPr>
        <xdr:cNvSpPr txBox="1"/>
      </xdr:nvSpPr>
      <xdr:spPr>
        <a:xfrm rot="16200000">
          <a:off x="12915095" y="4658757"/>
          <a:ext cx="1378967" cy="23320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t>Middle East &amp; North</a:t>
          </a:r>
          <a:r>
            <a:rPr lang="en-US" sz="900" baseline="0"/>
            <a:t> Africa</a:t>
          </a:r>
          <a:endParaRPr lang="en-US" sz="900"/>
        </a:p>
      </xdr:txBody>
    </xdr:sp>
    <xdr:clientData/>
  </xdr:oneCellAnchor>
  <xdr:oneCellAnchor>
    <xdr:from>
      <xdr:col>32</xdr:col>
      <xdr:colOff>610005</xdr:colOff>
      <xdr:row>22</xdr:row>
      <xdr:rowOff>102902</xdr:rowOff>
    </xdr:from>
    <xdr:ext cx="233205" cy="1024255"/>
    <xdr:sp macro="" textlink="">
      <xdr:nvSpPr>
        <xdr:cNvPr id="8" name="TextBox 7">
          <a:extLst>
            <a:ext uri="{FF2B5EF4-FFF2-40B4-BE49-F238E27FC236}">
              <a16:creationId xmlns:a16="http://schemas.microsoft.com/office/drawing/2014/main" id="{19435237-6FBF-44C7-B17D-BB99F4C10FFB}"/>
            </a:ext>
          </a:extLst>
        </xdr:cNvPr>
        <xdr:cNvSpPr txBox="1"/>
      </xdr:nvSpPr>
      <xdr:spPr>
        <a:xfrm rot="16200000">
          <a:off x="13454230" y="4479877"/>
          <a:ext cx="1024255" cy="23320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t>East</a:t>
          </a:r>
          <a:r>
            <a:rPr lang="en-US" sz="900" baseline="0"/>
            <a:t> Asia &amp; Pacific</a:t>
          </a:r>
          <a:endParaRPr lang="en-US" sz="900"/>
        </a:p>
      </xdr:txBody>
    </xdr:sp>
    <xdr:clientData/>
  </xdr:oneCellAnchor>
</xdr:wsDr>
</file>

<file path=xl/drawings/drawing10.xml><?xml version="1.0" encoding="utf-8"?>
<xdr:wsDr xmlns:xdr="http://schemas.openxmlformats.org/drawingml/2006/spreadsheetDrawing" xmlns:a="http://schemas.openxmlformats.org/drawingml/2006/main">
  <xdr:twoCellAnchor>
    <xdr:from>
      <xdr:col>1</xdr:col>
      <xdr:colOff>627970</xdr:colOff>
      <xdr:row>20</xdr:row>
      <xdr:rowOff>10431</xdr:rowOff>
    </xdr:from>
    <xdr:to>
      <xdr:col>18</xdr:col>
      <xdr:colOff>810985</xdr:colOff>
      <xdr:row>45</xdr:row>
      <xdr:rowOff>19049</xdr:rowOff>
    </xdr:to>
    <xdr:graphicFrame macro="">
      <xdr:nvGraphicFramePr>
        <xdr:cNvPr id="2" name="Chart 1">
          <a:extLst>
            <a:ext uri="{FF2B5EF4-FFF2-40B4-BE49-F238E27FC236}">
              <a16:creationId xmlns:a16="http://schemas.microsoft.com/office/drawing/2014/main" id="{D6028BB6-6648-4AEB-88C5-C3FA7BD0BC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665108</xdr:colOff>
      <xdr:row>28</xdr:row>
      <xdr:rowOff>80451</xdr:rowOff>
    </xdr:from>
    <xdr:to>
      <xdr:col>11</xdr:col>
      <xdr:colOff>247047</xdr:colOff>
      <xdr:row>58</xdr:row>
      <xdr:rowOff>53726</xdr:rowOff>
    </xdr:to>
    <xdr:grpSp>
      <xdr:nvGrpSpPr>
        <xdr:cNvPr id="4" name="Group 3">
          <a:extLst>
            <a:ext uri="{FF2B5EF4-FFF2-40B4-BE49-F238E27FC236}">
              <a16:creationId xmlns:a16="http://schemas.microsoft.com/office/drawing/2014/main" id="{C1F64638-E604-468D-F41D-D64BEB11378A}"/>
            </a:ext>
          </a:extLst>
        </xdr:cNvPr>
        <xdr:cNvGrpSpPr/>
      </xdr:nvGrpSpPr>
      <xdr:grpSpPr>
        <a:xfrm>
          <a:off x="2509148" y="2092131"/>
          <a:ext cx="7659139" cy="5459675"/>
          <a:chOff x="2448881" y="2175951"/>
          <a:chExt cx="7375121" cy="5688275"/>
        </a:xfrm>
      </xdr:grpSpPr>
      <xdr:graphicFrame macro="">
        <xdr:nvGraphicFramePr>
          <xdr:cNvPr id="2" name="Chart 1">
            <a:extLst>
              <a:ext uri="{FF2B5EF4-FFF2-40B4-BE49-F238E27FC236}">
                <a16:creationId xmlns:a16="http://schemas.microsoft.com/office/drawing/2014/main" id="{BF38A544-A7E1-48F5-8593-668AB8F0C74D}"/>
              </a:ext>
            </a:extLst>
          </xdr:cNvPr>
          <xdr:cNvGraphicFramePr>
            <a:graphicFrameLocks/>
          </xdr:cNvGraphicFramePr>
        </xdr:nvGraphicFramePr>
        <xdr:xfrm>
          <a:off x="2448881" y="2175951"/>
          <a:ext cx="7375121" cy="2877848"/>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1">
            <a:extLst>
              <a:ext uri="{FF2B5EF4-FFF2-40B4-BE49-F238E27FC236}">
                <a16:creationId xmlns:a16="http://schemas.microsoft.com/office/drawing/2014/main" id="{E1BBE4FD-2C04-42BF-B8E5-8B2EFD9109E0}"/>
              </a:ext>
            </a:extLst>
          </xdr:cNvPr>
          <xdr:cNvGraphicFramePr>
            <a:graphicFrameLocks/>
          </xdr:cNvGraphicFramePr>
        </xdr:nvGraphicFramePr>
        <xdr:xfrm>
          <a:off x="2449799" y="4995901"/>
          <a:ext cx="7365597" cy="2868325"/>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wsDr>
</file>

<file path=xl/drawings/drawing12.xml><?xml version="1.0" encoding="utf-8"?>
<xdr:wsDr xmlns:xdr="http://schemas.openxmlformats.org/drawingml/2006/spreadsheetDrawing" xmlns:a="http://schemas.openxmlformats.org/drawingml/2006/main">
  <xdr:twoCellAnchor>
    <xdr:from>
      <xdr:col>6</xdr:col>
      <xdr:colOff>219074</xdr:colOff>
      <xdr:row>0</xdr:row>
      <xdr:rowOff>142873</xdr:rowOff>
    </xdr:from>
    <xdr:to>
      <xdr:col>19</xdr:col>
      <xdr:colOff>295275</xdr:colOff>
      <xdr:row>22</xdr:row>
      <xdr:rowOff>28574</xdr:rowOff>
    </xdr:to>
    <xdr:graphicFrame macro="">
      <xdr:nvGraphicFramePr>
        <xdr:cNvPr id="2" name="Chart 1">
          <a:extLst>
            <a:ext uri="{FF2B5EF4-FFF2-40B4-BE49-F238E27FC236}">
              <a16:creationId xmlns:a16="http://schemas.microsoft.com/office/drawing/2014/main" id="{9124C3B8-FB31-4E47-A9B2-9ACFFE9D3F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161925</xdr:colOff>
      <xdr:row>11</xdr:row>
      <xdr:rowOff>66675</xdr:rowOff>
    </xdr:from>
    <xdr:to>
      <xdr:col>19</xdr:col>
      <xdr:colOff>76200</xdr:colOff>
      <xdr:row>11</xdr:row>
      <xdr:rowOff>76200</xdr:rowOff>
    </xdr:to>
    <xdr:cxnSp macro="">
      <xdr:nvCxnSpPr>
        <xdr:cNvPr id="3" name="Straight Connector 6">
          <a:extLst>
            <a:ext uri="{FF2B5EF4-FFF2-40B4-BE49-F238E27FC236}">
              <a16:creationId xmlns:a16="http://schemas.microsoft.com/office/drawing/2014/main" id="{2A4067E7-5586-400A-9648-A03E29BD2D44}"/>
            </a:ext>
          </a:extLst>
        </xdr:cNvPr>
        <xdr:cNvCxnSpPr/>
      </xdr:nvCxnSpPr>
      <xdr:spPr>
        <a:xfrm flipV="1">
          <a:off x="14411325" y="4048125"/>
          <a:ext cx="7686675" cy="9525"/>
        </a:xfrm>
        <a:prstGeom prst="line">
          <a:avLst/>
        </a:prstGeom>
        <a:ln w="12700">
          <a:solidFill>
            <a:schemeClr val="accent5">
              <a:lumMod val="20000"/>
              <a:lumOff val="80000"/>
            </a:schemeClr>
          </a:solidFill>
          <a:prstDash val="dash"/>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32</xdr:row>
      <xdr:rowOff>84341</xdr:rowOff>
    </xdr:from>
    <xdr:to>
      <xdr:col>6</xdr:col>
      <xdr:colOff>875991</xdr:colOff>
      <xdr:row>59</xdr:row>
      <xdr:rowOff>162538</xdr:rowOff>
    </xdr:to>
    <xdr:graphicFrame macro="">
      <xdr:nvGraphicFramePr>
        <xdr:cNvPr id="2" name="Chart 1">
          <a:extLst>
            <a:ext uri="{FF2B5EF4-FFF2-40B4-BE49-F238E27FC236}">
              <a16:creationId xmlns:a16="http://schemas.microsoft.com/office/drawing/2014/main" id="{7E22F01C-8EB6-479D-8AE0-785248D8A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163151</xdr:colOff>
      <xdr:row>53</xdr:row>
      <xdr:rowOff>40458</xdr:rowOff>
    </xdr:from>
    <xdr:to>
      <xdr:col>1</xdr:col>
      <xdr:colOff>379823</xdr:colOff>
      <xdr:row>58</xdr:row>
      <xdr:rowOff>173663</xdr:rowOff>
    </xdr:to>
    <xdr:sp macro="" textlink="">
      <xdr:nvSpPr>
        <xdr:cNvPr id="3" name="TextBox 18">
          <a:extLst>
            <a:ext uri="{FF2B5EF4-FFF2-40B4-BE49-F238E27FC236}">
              <a16:creationId xmlns:a16="http://schemas.microsoft.com/office/drawing/2014/main" id="{D4F987FC-B2DE-4742-8922-50FBB10A3BEA}"/>
            </a:ext>
          </a:extLst>
        </xdr:cNvPr>
        <xdr:cNvSpPr txBox="1"/>
      </xdr:nvSpPr>
      <xdr:spPr>
        <a:xfrm rot="16200000">
          <a:off x="409672" y="10042837"/>
          <a:ext cx="1038080" cy="21667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a:t>Mongolia</a:t>
          </a:r>
        </a:p>
      </xdr:txBody>
    </xdr:sp>
    <xdr:clientData/>
  </xdr:twoCellAnchor>
  <xdr:twoCellAnchor>
    <xdr:from>
      <xdr:col>1</xdr:col>
      <xdr:colOff>552164</xdr:colOff>
      <xdr:row>53</xdr:row>
      <xdr:rowOff>58983</xdr:rowOff>
    </xdr:from>
    <xdr:to>
      <xdr:col>1</xdr:col>
      <xdr:colOff>772865</xdr:colOff>
      <xdr:row>59</xdr:row>
      <xdr:rowOff>20737</xdr:rowOff>
    </xdr:to>
    <xdr:sp macro="" textlink="">
      <xdr:nvSpPr>
        <xdr:cNvPr id="4" name="TextBox 19">
          <a:extLst>
            <a:ext uri="{FF2B5EF4-FFF2-40B4-BE49-F238E27FC236}">
              <a16:creationId xmlns:a16="http://schemas.microsoft.com/office/drawing/2014/main" id="{D12DC853-F501-471B-9FDA-F4542D8EC331}"/>
            </a:ext>
          </a:extLst>
        </xdr:cNvPr>
        <xdr:cNvSpPr txBox="1"/>
      </xdr:nvSpPr>
      <xdr:spPr>
        <a:xfrm rot="16200000">
          <a:off x="795938" y="10064109"/>
          <a:ext cx="1047604" cy="22070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a:t>Armenia</a:t>
          </a:r>
        </a:p>
      </xdr:txBody>
    </xdr:sp>
    <xdr:clientData/>
  </xdr:twoCellAnchor>
  <xdr:twoCellAnchor>
    <xdr:from>
      <xdr:col>1</xdr:col>
      <xdr:colOff>950880</xdr:colOff>
      <xdr:row>53</xdr:row>
      <xdr:rowOff>55706</xdr:rowOff>
    </xdr:from>
    <xdr:to>
      <xdr:col>1</xdr:col>
      <xdr:colOff>1161755</xdr:colOff>
      <xdr:row>59</xdr:row>
      <xdr:rowOff>7936</xdr:rowOff>
    </xdr:to>
    <xdr:sp macro="" textlink="">
      <xdr:nvSpPr>
        <xdr:cNvPr id="5" name="TextBox 20">
          <a:extLst>
            <a:ext uri="{FF2B5EF4-FFF2-40B4-BE49-F238E27FC236}">
              <a16:creationId xmlns:a16="http://schemas.microsoft.com/office/drawing/2014/main" id="{67791CCE-62AA-4D4F-A2FB-4862046478B2}"/>
            </a:ext>
          </a:extLst>
        </xdr:cNvPr>
        <xdr:cNvSpPr txBox="1"/>
      </xdr:nvSpPr>
      <xdr:spPr>
        <a:xfrm rot="16200000">
          <a:off x="1194503" y="10060983"/>
          <a:ext cx="1038080" cy="2108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a:t>Vietnam</a:t>
          </a:r>
        </a:p>
      </xdr:txBody>
    </xdr:sp>
    <xdr:clientData/>
  </xdr:twoCellAnchor>
  <xdr:twoCellAnchor>
    <xdr:from>
      <xdr:col>3</xdr:col>
      <xdr:colOff>169554</xdr:colOff>
      <xdr:row>53</xdr:row>
      <xdr:rowOff>65652</xdr:rowOff>
    </xdr:from>
    <xdr:to>
      <xdr:col>3</xdr:col>
      <xdr:colOff>360070</xdr:colOff>
      <xdr:row>59</xdr:row>
      <xdr:rowOff>19188</xdr:rowOff>
    </xdr:to>
    <xdr:sp macro="" textlink="">
      <xdr:nvSpPr>
        <xdr:cNvPr id="6" name="TextBox 21">
          <a:extLst>
            <a:ext uri="{FF2B5EF4-FFF2-40B4-BE49-F238E27FC236}">
              <a16:creationId xmlns:a16="http://schemas.microsoft.com/office/drawing/2014/main" id="{FF40AE8F-51B7-40F3-8E65-FF41CD1FD915}"/>
            </a:ext>
          </a:extLst>
        </xdr:cNvPr>
        <xdr:cNvSpPr txBox="1"/>
      </xdr:nvSpPr>
      <xdr:spPr>
        <a:xfrm rot="16200000">
          <a:off x="1773944" y="10081762"/>
          <a:ext cx="1039386" cy="19051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a:t>Philippines</a:t>
          </a:r>
        </a:p>
      </xdr:txBody>
    </xdr:sp>
    <xdr:clientData/>
  </xdr:twoCellAnchor>
  <xdr:twoCellAnchor>
    <xdr:from>
      <xdr:col>4</xdr:col>
      <xdr:colOff>124</xdr:colOff>
      <xdr:row>53</xdr:row>
      <xdr:rowOff>58370</xdr:rowOff>
    </xdr:from>
    <xdr:to>
      <xdr:col>4</xdr:col>
      <xdr:colOff>220825</xdr:colOff>
      <xdr:row>59</xdr:row>
      <xdr:rowOff>7144</xdr:rowOff>
    </xdr:to>
    <xdr:sp macro="" textlink="">
      <xdr:nvSpPr>
        <xdr:cNvPr id="7" name="TextBox 22">
          <a:extLst>
            <a:ext uri="{FF2B5EF4-FFF2-40B4-BE49-F238E27FC236}">
              <a16:creationId xmlns:a16="http://schemas.microsoft.com/office/drawing/2014/main" id="{BF1B4D1F-B231-4AEA-A79F-4C0B91AF654E}"/>
            </a:ext>
          </a:extLst>
        </xdr:cNvPr>
        <xdr:cNvSpPr txBox="1"/>
      </xdr:nvSpPr>
      <xdr:spPr>
        <a:xfrm rot="16200000">
          <a:off x="2545913" y="10057006"/>
          <a:ext cx="1034624" cy="22070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a:t>Indonesia</a:t>
          </a:r>
        </a:p>
      </xdr:txBody>
    </xdr:sp>
    <xdr:clientData/>
  </xdr:twoCellAnchor>
  <xdr:twoCellAnchor>
    <xdr:from>
      <xdr:col>5</xdr:col>
      <xdr:colOff>75740</xdr:colOff>
      <xdr:row>53</xdr:row>
      <xdr:rowOff>36211</xdr:rowOff>
    </xdr:from>
    <xdr:to>
      <xdr:col>5</xdr:col>
      <xdr:colOff>296441</xdr:colOff>
      <xdr:row>59</xdr:row>
      <xdr:rowOff>227</xdr:rowOff>
    </xdr:to>
    <xdr:sp macro="" textlink="">
      <xdr:nvSpPr>
        <xdr:cNvPr id="8" name="TextBox 23">
          <a:extLst>
            <a:ext uri="{FF2B5EF4-FFF2-40B4-BE49-F238E27FC236}">
              <a16:creationId xmlns:a16="http://schemas.microsoft.com/office/drawing/2014/main" id="{1E7A9E50-B878-4629-8BD7-056E43BB8B1D}"/>
            </a:ext>
          </a:extLst>
        </xdr:cNvPr>
        <xdr:cNvSpPr txBox="1"/>
      </xdr:nvSpPr>
      <xdr:spPr>
        <a:xfrm rot="16200000">
          <a:off x="3537833" y="10042468"/>
          <a:ext cx="1049866" cy="22070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a:t>Thailand</a:t>
          </a:r>
        </a:p>
      </xdr:txBody>
    </xdr:sp>
    <xdr:clientData/>
  </xdr:twoCellAnchor>
  <xdr:twoCellAnchor>
    <xdr:from>
      <xdr:col>6</xdr:col>
      <xdr:colOff>124195</xdr:colOff>
      <xdr:row>53</xdr:row>
      <xdr:rowOff>29742</xdr:rowOff>
    </xdr:from>
    <xdr:to>
      <xdr:col>6</xdr:col>
      <xdr:colOff>344896</xdr:colOff>
      <xdr:row>58</xdr:row>
      <xdr:rowOff>160447</xdr:rowOff>
    </xdr:to>
    <xdr:sp macro="" textlink="">
      <xdr:nvSpPr>
        <xdr:cNvPr id="9" name="TextBox 24">
          <a:extLst>
            <a:ext uri="{FF2B5EF4-FFF2-40B4-BE49-F238E27FC236}">
              <a16:creationId xmlns:a16="http://schemas.microsoft.com/office/drawing/2014/main" id="{984FBBCE-86FA-436B-88CF-34882B7A36C5}"/>
            </a:ext>
          </a:extLst>
        </xdr:cNvPr>
        <xdr:cNvSpPr txBox="1"/>
      </xdr:nvSpPr>
      <xdr:spPr>
        <a:xfrm rot="16200000">
          <a:off x="4307806" y="10028856"/>
          <a:ext cx="1035580" cy="22070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050"/>
            <a:t>India</a:t>
          </a:r>
        </a:p>
      </xdr:txBody>
    </xdr:sp>
    <xdr:clientData/>
  </xdr:twoCellAnchor>
  <xdr:twoCellAnchor>
    <xdr:from>
      <xdr:col>5</xdr:col>
      <xdr:colOff>626598</xdr:colOff>
      <xdr:row>53</xdr:row>
      <xdr:rowOff>30655</xdr:rowOff>
    </xdr:from>
    <xdr:to>
      <xdr:col>6</xdr:col>
      <xdr:colOff>132924</xdr:colOff>
      <xdr:row>58</xdr:row>
      <xdr:rowOff>160404</xdr:rowOff>
    </xdr:to>
    <xdr:sp macro="" textlink="">
      <xdr:nvSpPr>
        <xdr:cNvPr id="10" name="TextBox 25">
          <a:extLst>
            <a:ext uri="{FF2B5EF4-FFF2-40B4-BE49-F238E27FC236}">
              <a16:creationId xmlns:a16="http://schemas.microsoft.com/office/drawing/2014/main" id="{C315646D-001D-43FF-8D88-5E697DADCB9E}"/>
            </a:ext>
          </a:extLst>
        </xdr:cNvPr>
        <xdr:cNvSpPr txBox="1"/>
      </xdr:nvSpPr>
      <xdr:spPr>
        <a:xfrm rot="16200000">
          <a:off x="4096312" y="10029291"/>
          <a:ext cx="1034624" cy="22070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050"/>
            <a:t>Georgia</a:t>
          </a:r>
        </a:p>
      </xdr:txBody>
    </xdr:sp>
    <xdr:clientData/>
  </xdr:twoCellAnchor>
  <xdr:twoCellAnchor>
    <xdr:from>
      <xdr:col>6</xdr:col>
      <xdr:colOff>305866</xdr:colOff>
      <xdr:row>53</xdr:row>
      <xdr:rowOff>29700</xdr:rowOff>
    </xdr:from>
    <xdr:to>
      <xdr:col>6</xdr:col>
      <xdr:colOff>521805</xdr:colOff>
      <xdr:row>58</xdr:row>
      <xdr:rowOff>164211</xdr:rowOff>
    </xdr:to>
    <xdr:sp macro="" textlink="">
      <xdr:nvSpPr>
        <xdr:cNvPr id="11" name="TextBox 26">
          <a:extLst>
            <a:ext uri="{FF2B5EF4-FFF2-40B4-BE49-F238E27FC236}">
              <a16:creationId xmlns:a16="http://schemas.microsoft.com/office/drawing/2014/main" id="{91829F68-BA3A-40A1-BFAF-34FF7D3433C8}"/>
            </a:ext>
          </a:extLst>
        </xdr:cNvPr>
        <xdr:cNvSpPr txBox="1"/>
      </xdr:nvSpPr>
      <xdr:spPr>
        <a:xfrm rot="16200000">
          <a:off x="4485193" y="10033098"/>
          <a:ext cx="1039386" cy="21593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050"/>
            <a:t>Sri</a:t>
          </a:r>
          <a:r>
            <a:rPr lang="en-US" sz="1050" baseline="0"/>
            <a:t> Lanka</a:t>
          </a:r>
          <a:endParaRPr lang="en-US" sz="1050"/>
        </a:p>
      </xdr:txBody>
    </xdr:sp>
    <xdr:clientData/>
  </xdr:twoCellAnchor>
  <xdr:twoCellAnchor>
    <xdr:from>
      <xdr:col>6</xdr:col>
      <xdr:colOff>1514475</xdr:colOff>
      <xdr:row>32</xdr:row>
      <xdr:rowOff>163010</xdr:rowOff>
    </xdr:from>
    <xdr:to>
      <xdr:col>11</xdr:col>
      <xdr:colOff>1714500</xdr:colOff>
      <xdr:row>61</xdr:row>
      <xdr:rowOff>64679</xdr:rowOff>
    </xdr:to>
    <xdr:graphicFrame macro="">
      <xdr:nvGraphicFramePr>
        <xdr:cNvPr id="12" name="Chart 138">
          <a:extLst>
            <a:ext uri="{FF2B5EF4-FFF2-40B4-BE49-F238E27FC236}">
              <a16:creationId xmlns:a16="http://schemas.microsoft.com/office/drawing/2014/main" id="{6318C409-F5DA-4C59-BC32-B0FCE41B7C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246513</xdr:colOff>
      <xdr:row>53</xdr:row>
      <xdr:rowOff>38368</xdr:rowOff>
    </xdr:from>
    <xdr:to>
      <xdr:col>5</xdr:col>
      <xdr:colOff>476007</xdr:colOff>
      <xdr:row>58</xdr:row>
      <xdr:rowOff>169073</xdr:rowOff>
    </xdr:to>
    <xdr:sp macro="" textlink="">
      <xdr:nvSpPr>
        <xdr:cNvPr id="13" name="TextBox 23">
          <a:extLst>
            <a:ext uri="{FF2B5EF4-FFF2-40B4-BE49-F238E27FC236}">
              <a16:creationId xmlns:a16="http://schemas.microsoft.com/office/drawing/2014/main" id="{AA668D81-DDF5-4FC2-9EE8-21554FC53F2A}"/>
            </a:ext>
          </a:extLst>
        </xdr:cNvPr>
        <xdr:cNvSpPr txBox="1"/>
      </xdr:nvSpPr>
      <xdr:spPr>
        <a:xfrm rot="16200000">
          <a:off x="3720145" y="10033086"/>
          <a:ext cx="1035580" cy="22949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a:t>Turkey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10</xdr:col>
      <xdr:colOff>8823</xdr:colOff>
      <xdr:row>3</xdr:row>
      <xdr:rowOff>30209</xdr:rowOff>
    </xdr:from>
    <xdr:to>
      <xdr:col>23</xdr:col>
      <xdr:colOff>7114</xdr:colOff>
      <xdr:row>27</xdr:row>
      <xdr:rowOff>60617</xdr:rowOff>
    </xdr:to>
    <xdr:graphicFrame macro="">
      <xdr:nvGraphicFramePr>
        <xdr:cNvPr id="2" name="Chart 3">
          <a:extLst>
            <a:ext uri="{FF2B5EF4-FFF2-40B4-BE49-F238E27FC236}">
              <a16:creationId xmlns:a16="http://schemas.microsoft.com/office/drawing/2014/main" id="{05BC7D35-DD4C-4164-B119-8828FC1D71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7</xdr:col>
      <xdr:colOff>637234</xdr:colOff>
      <xdr:row>6</xdr:row>
      <xdr:rowOff>67077</xdr:rowOff>
    </xdr:from>
    <xdr:to>
      <xdr:col>19</xdr:col>
      <xdr:colOff>482774</xdr:colOff>
      <xdr:row>32</xdr:row>
      <xdr:rowOff>123027</xdr:rowOff>
    </xdr:to>
    <xdr:graphicFrame macro="">
      <xdr:nvGraphicFramePr>
        <xdr:cNvPr id="2" name="Chart 1">
          <a:extLst>
            <a:ext uri="{FF2B5EF4-FFF2-40B4-BE49-F238E27FC236}">
              <a16:creationId xmlns:a16="http://schemas.microsoft.com/office/drawing/2014/main" id="{080EB934-C47F-4AF9-8672-BAE263A5CC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27606</xdr:colOff>
      <xdr:row>7</xdr:row>
      <xdr:rowOff>27750</xdr:rowOff>
    </xdr:from>
    <xdr:to>
      <xdr:col>20</xdr:col>
      <xdr:colOff>192705</xdr:colOff>
      <xdr:row>11</xdr:row>
      <xdr:rowOff>1545</xdr:rowOff>
    </xdr:to>
    <xdr:grpSp>
      <xdr:nvGrpSpPr>
        <xdr:cNvPr id="3" name="Group 2">
          <a:extLst>
            <a:ext uri="{FF2B5EF4-FFF2-40B4-BE49-F238E27FC236}">
              <a16:creationId xmlns:a16="http://schemas.microsoft.com/office/drawing/2014/main" id="{5248632D-499C-4183-9324-FEBE08382A95}"/>
            </a:ext>
          </a:extLst>
        </xdr:cNvPr>
        <xdr:cNvGrpSpPr/>
      </xdr:nvGrpSpPr>
      <xdr:grpSpPr>
        <a:xfrm>
          <a:off x="13112235" y="1366693"/>
          <a:ext cx="1384299" cy="714023"/>
          <a:chOff x="14398648" y="2166603"/>
          <a:chExt cx="1466402" cy="698231"/>
        </a:xfrm>
      </xdr:grpSpPr>
      <xdr:sp macro="" textlink="">
        <xdr:nvSpPr>
          <xdr:cNvPr id="4" name="Oval 3">
            <a:extLst>
              <a:ext uri="{FF2B5EF4-FFF2-40B4-BE49-F238E27FC236}">
                <a16:creationId xmlns:a16="http://schemas.microsoft.com/office/drawing/2014/main" id="{554CF9AB-9B0C-3B22-1D87-30E221102C47}"/>
              </a:ext>
            </a:extLst>
          </xdr:cNvPr>
          <xdr:cNvSpPr/>
        </xdr:nvSpPr>
        <xdr:spPr>
          <a:xfrm>
            <a:off x="14412064" y="2725000"/>
            <a:ext cx="127000" cy="127134"/>
          </a:xfrm>
          <a:prstGeom prst="ellipse">
            <a:avLst/>
          </a:prstGeom>
          <a:noFill/>
          <a:ln w="19050" cap="flat" cmpd="sng" algn="ctr">
            <a:solidFill>
              <a:srgbClr val="156082"/>
            </a:solidFill>
            <a:prstDash val="solid"/>
            <a:miter lim="800000"/>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5" name="Group 4">
            <a:extLst>
              <a:ext uri="{FF2B5EF4-FFF2-40B4-BE49-F238E27FC236}">
                <a16:creationId xmlns:a16="http://schemas.microsoft.com/office/drawing/2014/main" id="{8FFA6257-03E9-D1EE-8255-708956CB8F20}"/>
              </a:ext>
            </a:extLst>
          </xdr:cNvPr>
          <xdr:cNvGrpSpPr/>
        </xdr:nvGrpSpPr>
        <xdr:grpSpPr>
          <a:xfrm>
            <a:off x="14398648" y="2166603"/>
            <a:ext cx="1466402" cy="698231"/>
            <a:chOff x="7623824" y="1220811"/>
            <a:chExt cx="1466402" cy="698231"/>
          </a:xfrm>
        </xdr:grpSpPr>
        <xdr:sp macro="" textlink="">
          <xdr:nvSpPr>
            <xdr:cNvPr id="6" name="Oval 5">
              <a:extLst>
                <a:ext uri="{FF2B5EF4-FFF2-40B4-BE49-F238E27FC236}">
                  <a16:creationId xmlns:a16="http://schemas.microsoft.com/office/drawing/2014/main" id="{D349408C-1439-5029-E2C7-35ED6FA59C8B}"/>
                </a:ext>
              </a:extLst>
            </xdr:cNvPr>
            <xdr:cNvSpPr/>
          </xdr:nvSpPr>
          <xdr:spPr>
            <a:xfrm>
              <a:off x="7623824" y="1270940"/>
              <a:ext cx="127000" cy="127000"/>
            </a:xfrm>
            <a:prstGeom prst="ellipse">
              <a:avLst/>
            </a:prstGeom>
            <a:noFill/>
            <a:ln w="19050" cap="flat" cmpd="sng" algn="ctr">
              <a:solidFill>
                <a:srgbClr val="4EA72E"/>
              </a:solidFill>
              <a:prstDash val="solid"/>
              <a:miter lim="800000"/>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TextBox 6">
              <a:extLst>
                <a:ext uri="{FF2B5EF4-FFF2-40B4-BE49-F238E27FC236}">
                  <a16:creationId xmlns:a16="http://schemas.microsoft.com/office/drawing/2014/main" id="{95EC597A-A568-AEC1-A367-8513FD8642B6}"/>
                </a:ext>
              </a:extLst>
            </xdr:cNvPr>
            <xdr:cNvSpPr txBox="1"/>
          </xdr:nvSpPr>
          <xdr:spPr>
            <a:xfrm>
              <a:off x="7814324" y="1220811"/>
              <a:ext cx="1275902" cy="18983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000">
                  <a:latin typeface="Calibri" panose="020F0502020204030204" pitchFamily="34" charset="0"/>
                </a:rPr>
                <a:t>Bolivia</a:t>
              </a:r>
            </a:p>
          </xdr:txBody>
        </xdr:sp>
        <xdr:sp macro="" textlink="">
          <xdr:nvSpPr>
            <xdr:cNvPr id="8" name="Oval 7">
              <a:extLst>
                <a:ext uri="{FF2B5EF4-FFF2-40B4-BE49-F238E27FC236}">
                  <a16:creationId xmlns:a16="http://schemas.microsoft.com/office/drawing/2014/main" id="{7F33AA9C-91EE-1823-7CB8-BDEAC710EC95}"/>
                </a:ext>
              </a:extLst>
            </xdr:cNvPr>
            <xdr:cNvSpPr/>
          </xdr:nvSpPr>
          <xdr:spPr>
            <a:xfrm>
              <a:off x="7623824" y="1525073"/>
              <a:ext cx="127000" cy="127135"/>
            </a:xfrm>
            <a:prstGeom prst="ellipse">
              <a:avLst/>
            </a:prstGeom>
            <a:noFill/>
            <a:ln w="19050" cap="flat" cmpd="sng" algn="ctr">
              <a:solidFill>
                <a:srgbClr val="D9A441"/>
              </a:solidFill>
              <a:prstDash val="solid"/>
              <a:miter lim="800000"/>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TextBox 8">
              <a:extLst>
                <a:ext uri="{FF2B5EF4-FFF2-40B4-BE49-F238E27FC236}">
                  <a16:creationId xmlns:a16="http://schemas.microsoft.com/office/drawing/2014/main" id="{EA93938B-8437-8172-B678-6D3B44CD3DF7}"/>
                </a:ext>
              </a:extLst>
            </xdr:cNvPr>
            <xdr:cNvSpPr txBox="1"/>
          </xdr:nvSpPr>
          <xdr:spPr>
            <a:xfrm>
              <a:off x="7814324" y="1442165"/>
              <a:ext cx="1275902" cy="222743"/>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000">
                  <a:latin typeface="Calibri" panose="020F0502020204030204" pitchFamily="34" charset="0"/>
                </a:rPr>
                <a:t>Chile</a:t>
              </a:r>
            </a:p>
          </xdr:txBody>
        </xdr:sp>
        <xdr:sp macro="" textlink="">
          <xdr:nvSpPr>
            <xdr:cNvPr id="10" name="TextBox 9">
              <a:extLst>
                <a:ext uri="{FF2B5EF4-FFF2-40B4-BE49-F238E27FC236}">
                  <a16:creationId xmlns:a16="http://schemas.microsoft.com/office/drawing/2014/main" id="{DEC3AF51-5EA4-3F12-2211-0CC452A40AAE}"/>
                </a:ext>
              </a:extLst>
            </xdr:cNvPr>
            <xdr:cNvSpPr txBox="1"/>
          </xdr:nvSpPr>
          <xdr:spPr>
            <a:xfrm>
              <a:off x="7814324" y="1717183"/>
              <a:ext cx="1275902" cy="201859"/>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000">
                  <a:latin typeface="Calibri" panose="020F0502020204030204" pitchFamily="34" charset="0"/>
                </a:rPr>
                <a:t>Argentina</a:t>
              </a:r>
            </a:p>
          </xdr:txBody>
        </xdr:sp>
      </xdr:grpSp>
    </xdr:grpSp>
    <xdr:clientData/>
  </xdr:twoCellAnchor>
  <xdr:twoCellAnchor>
    <xdr:from>
      <xdr:col>13</xdr:col>
      <xdr:colOff>285028</xdr:colOff>
      <xdr:row>9</xdr:row>
      <xdr:rowOff>147411</xdr:rowOff>
    </xdr:from>
    <xdr:to>
      <xdr:col>15</xdr:col>
      <xdr:colOff>187098</xdr:colOff>
      <xdr:row>13</xdr:row>
      <xdr:rowOff>122671</xdr:rowOff>
    </xdr:to>
    <xdr:cxnSp macro="">
      <xdr:nvCxnSpPr>
        <xdr:cNvPr id="11" name="Straight Connector 10">
          <a:extLst>
            <a:ext uri="{FF2B5EF4-FFF2-40B4-BE49-F238E27FC236}">
              <a16:creationId xmlns:a16="http://schemas.microsoft.com/office/drawing/2014/main" id="{10F57511-2385-45EC-80FC-39CD8DFECC61}"/>
            </a:ext>
          </a:extLst>
        </xdr:cNvPr>
        <xdr:cNvCxnSpPr/>
      </xdr:nvCxnSpPr>
      <xdr:spPr>
        <a:xfrm flipV="1">
          <a:off x="10824441" y="1776186"/>
          <a:ext cx="1197470" cy="699160"/>
        </a:xfrm>
        <a:prstGeom prst="line">
          <a:avLst/>
        </a:prstGeom>
        <a:ln w="6350">
          <a:solidFill>
            <a:schemeClr val="bg2">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16.xml><?xml version="1.0" encoding="utf-8"?>
<c:userShapes xmlns:c="http://schemas.openxmlformats.org/drawingml/2006/chart">
  <cdr:relSizeAnchor xmlns:cdr="http://schemas.openxmlformats.org/drawingml/2006/chartDrawing">
    <cdr:from>
      <cdr:x>0.66381</cdr:x>
      <cdr:y>0.36944</cdr:y>
    </cdr:from>
    <cdr:to>
      <cdr:x>0.70157</cdr:x>
      <cdr:y>0.48769</cdr:y>
    </cdr:to>
    <cdr:cxnSp macro="">
      <cdr:nvCxnSpPr>
        <cdr:cNvPr id="3" name="Straight Connector 2">
          <a:extLst xmlns:a="http://schemas.openxmlformats.org/drawingml/2006/main">
            <a:ext uri="{FF2B5EF4-FFF2-40B4-BE49-F238E27FC236}">
              <a16:creationId xmlns:a16="http://schemas.microsoft.com/office/drawing/2014/main" id="{02ABD29B-B309-5EAA-69E1-83A718A98639}"/>
            </a:ext>
          </a:extLst>
        </cdr:cNvPr>
        <cdr:cNvCxnSpPr/>
      </cdr:nvCxnSpPr>
      <cdr:spPr>
        <a:xfrm xmlns:a="http://schemas.openxmlformats.org/drawingml/2006/main">
          <a:off x="5040815" y="1780123"/>
          <a:ext cx="286740" cy="569781"/>
        </a:xfrm>
        <a:prstGeom xmlns:a="http://schemas.openxmlformats.org/drawingml/2006/main" prst="line">
          <a:avLst/>
        </a:prstGeom>
        <a:ln xmlns:a="http://schemas.openxmlformats.org/drawingml/2006/main" w="6350">
          <a:solidFill>
            <a:schemeClr val="bg2">
              <a:lumMod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0.52334</cdr:x>
      <cdr:y>0.51829</cdr:y>
    </cdr:from>
    <cdr:to>
      <cdr:x>0.56841</cdr:x>
      <cdr:y>0.61481</cdr:y>
    </cdr:to>
    <cdr:cxnSp macro="">
      <cdr:nvCxnSpPr>
        <cdr:cNvPr id="5" name="Straight Connector 4">
          <a:extLst xmlns:a="http://schemas.openxmlformats.org/drawingml/2006/main">
            <a:ext uri="{FF2B5EF4-FFF2-40B4-BE49-F238E27FC236}">
              <a16:creationId xmlns:a16="http://schemas.microsoft.com/office/drawing/2014/main" id="{FAAD1EF9-3440-8EFE-CF4A-4F0A2C677207}"/>
            </a:ext>
          </a:extLst>
        </cdr:cNvPr>
        <cdr:cNvCxnSpPr/>
      </cdr:nvCxnSpPr>
      <cdr:spPr>
        <a:xfrm xmlns:a="http://schemas.openxmlformats.org/drawingml/2006/main">
          <a:off x="3974148" y="2497347"/>
          <a:ext cx="342186" cy="465090"/>
        </a:xfrm>
        <a:prstGeom xmlns:a="http://schemas.openxmlformats.org/drawingml/2006/main" prst="line">
          <a:avLst/>
        </a:prstGeom>
        <a:ln xmlns:a="http://schemas.openxmlformats.org/drawingml/2006/main" w="6350">
          <a:solidFill>
            <a:schemeClr val="bg2">
              <a:lumMod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0.30678</cdr:x>
      <cdr:y>0.58714</cdr:y>
    </cdr:from>
    <cdr:to>
      <cdr:x>0.37979</cdr:x>
      <cdr:y>0.63465</cdr:y>
    </cdr:to>
    <cdr:cxnSp macro="">
      <cdr:nvCxnSpPr>
        <cdr:cNvPr id="7" name="Straight Connector 6">
          <a:extLst xmlns:a="http://schemas.openxmlformats.org/drawingml/2006/main">
            <a:ext uri="{FF2B5EF4-FFF2-40B4-BE49-F238E27FC236}">
              <a16:creationId xmlns:a16="http://schemas.microsoft.com/office/drawing/2014/main" id="{277066D7-3D21-A239-0936-E9537EDDB569}"/>
            </a:ext>
          </a:extLst>
        </cdr:cNvPr>
        <cdr:cNvCxnSpPr/>
      </cdr:nvCxnSpPr>
      <cdr:spPr>
        <a:xfrm xmlns:a="http://schemas.openxmlformats.org/drawingml/2006/main" flipH="1">
          <a:off x="2329642" y="2829113"/>
          <a:ext cx="554421" cy="228925"/>
        </a:xfrm>
        <a:prstGeom xmlns:a="http://schemas.openxmlformats.org/drawingml/2006/main" prst="line">
          <a:avLst/>
        </a:prstGeom>
        <a:ln xmlns:a="http://schemas.openxmlformats.org/drawingml/2006/main" w="6350">
          <a:solidFill>
            <a:schemeClr val="bg2">
              <a:lumMod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0.27489</cdr:x>
      <cdr:y>0.4242</cdr:y>
    </cdr:from>
    <cdr:to>
      <cdr:x>0.29057</cdr:x>
      <cdr:y>0.55535</cdr:y>
    </cdr:to>
    <cdr:cxnSp macro="">
      <cdr:nvCxnSpPr>
        <cdr:cNvPr id="9" name="Straight Connector 8">
          <a:extLst xmlns:a="http://schemas.openxmlformats.org/drawingml/2006/main">
            <a:ext uri="{FF2B5EF4-FFF2-40B4-BE49-F238E27FC236}">
              <a16:creationId xmlns:a16="http://schemas.microsoft.com/office/drawing/2014/main" id="{708C09BD-2A3E-B0D8-AAB3-580A00965344}"/>
            </a:ext>
          </a:extLst>
        </cdr:cNvPr>
        <cdr:cNvCxnSpPr/>
      </cdr:nvCxnSpPr>
      <cdr:spPr>
        <a:xfrm xmlns:a="http://schemas.openxmlformats.org/drawingml/2006/main">
          <a:off x="2087465" y="2043993"/>
          <a:ext cx="119063" cy="631948"/>
        </a:xfrm>
        <a:prstGeom xmlns:a="http://schemas.openxmlformats.org/drawingml/2006/main" prst="line">
          <a:avLst/>
        </a:prstGeom>
        <a:ln xmlns:a="http://schemas.openxmlformats.org/drawingml/2006/main" w="6350">
          <a:solidFill>
            <a:schemeClr val="bg2">
              <a:lumMod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0.54477</cdr:x>
      <cdr:y>0.17363</cdr:y>
    </cdr:from>
    <cdr:to>
      <cdr:x>0.62648</cdr:x>
      <cdr:y>0.29297</cdr:y>
    </cdr:to>
    <cdr:cxnSp macro="">
      <cdr:nvCxnSpPr>
        <cdr:cNvPr id="11" name="Straight Connector 10">
          <a:extLst xmlns:a="http://schemas.openxmlformats.org/drawingml/2006/main">
            <a:ext uri="{FF2B5EF4-FFF2-40B4-BE49-F238E27FC236}">
              <a16:creationId xmlns:a16="http://schemas.microsoft.com/office/drawing/2014/main" id="{F5D2BA48-3773-AC99-44E1-4B9C2A84A4B6}"/>
            </a:ext>
          </a:extLst>
        </cdr:cNvPr>
        <cdr:cNvCxnSpPr/>
      </cdr:nvCxnSpPr>
      <cdr:spPr>
        <a:xfrm xmlns:a="http://schemas.openxmlformats.org/drawingml/2006/main" flipV="1">
          <a:off x="4161346" y="824088"/>
          <a:ext cx="624176" cy="566449"/>
        </a:xfrm>
        <a:prstGeom xmlns:a="http://schemas.openxmlformats.org/drawingml/2006/main" prst="line">
          <a:avLst/>
        </a:prstGeom>
        <a:ln xmlns:a="http://schemas.openxmlformats.org/drawingml/2006/main" w="6350">
          <a:solidFill>
            <a:schemeClr val="bg2">
              <a:lumMod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17.xml><?xml version="1.0" encoding="utf-8"?>
<xdr:wsDr xmlns:xdr="http://schemas.openxmlformats.org/drawingml/2006/spreadsheetDrawing" xmlns:a="http://schemas.openxmlformats.org/drawingml/2006/main">
  <xdr:twoCellAnchor>
    <xdr:from>
      <xdr:col>8</xdr:col>
      <xdr:colOff>1562</xdr:colOff>
      <xdr:row>4</xdr:row>
      <xdr:rowOff>161589</xdr:rowOff>
    </xdr:from>
    <xdr:to>
      <xdr:col>20</xdr:col>
      <xdr:colOff>64871</xdr:colOff>
      <xdr:row>29</xdr:row>
      <xdr:rowOff>144836</xdr:rowOff>
    </xdr:to>
    <xdr:graphicFrame macro="">
      <xdr:nvGraphicFramePr>
        <xdr:cNvPr id="2" name="Chart 1">
          <a:extLst>
            <a:ext uri="{FF2B5EF4-FFF2-40B4-BE49-F238E27FC236}">
              <a16:creationId xmlns:a16="http://schemas.microsoft.com/office/drawing/2014/main" id="{CD477F07-D01F-4A4C-8B7E-F3CF7590BB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243065</xdr:colOff>
      <xdr:row>5</xdr:row>
      <xdr:rowOff>59651</xdr:rowOff>
    </xdr:from>
    <xdr:to>
      <xdr:col>18</xdr:col>
      <xdr:colOff>370065</xdr:colOff>
      <xdr:row>6</xdr:row>
      <xdr:rowOff>8057</xdr:rowOff>
    </xdr:to>
    <xdr:sp macro="" textlink="">
      <xdr:nvSpPr>
        <xdr:cNvPr id="3" name="Oval 2">
          <a:extLst>
            <a:ext uri="{FF2B5EF4-FFF2-40B4-BE49-F238E27FC236}">
              <a16:creationId xmlns:a16="http://schemas.microsoft.com/office/drawing/2014/main" id="{26C512B5-2400-4AC3-B693-E24756953A12}"/>
            </a:ext>
          </a:extLst>
        </xdr:cNvPr>
        <xdr:cNvSpPr/>
      </xdr:nvSpPr>
      <xdr:spPr>
        <a:xfrm>
          <a:off x="14020978" y="964526"/>
          <a:ext cx="127000" cy="129381"/>
        </a:xfrm>
        <a:prstGeom prst="ellipse">
          <a:avLst/>
        </a:prstGeom>
        <a:noFill/>
        <a:ln w="19050" cap="flat" cmpd="sng" algn="ctr">
          <a:solidFill>
            <a:srgbClr val="A02B93"/>
          </a:solidFill>
          <a:prstDash val="solid"/>
          <a:miter lim="800000"/>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230636</xdr:colOff>
      <xdr:row>5</xdr:row>
      <xdr:rowOff>17622</xdr:rowOff>
    </xdr:from>
    <xdr:to>
      <xdr:col>20</xdr:col>
      <xdr:colOff>401798</xdr:colOff>
      <xdr:row>9</xdr:row>
      <xdr:rowOff>65008</xdr:rowOff>
    </xdr:to>
    <xdr:grpSp>
      <xdr:nvGrpSpPr>
        <xdr:cNvPr id="4" name="Group 3">
          <a:extLst>
            <a:ext uri="{FF2B5EF4-FFF2-40B4-BE49-F238E27FC236}">
              <a16:creationId xmlns:a16="http://schemas.microsoft.com/office/drawing/2014/main" id="{D07803D3-8895-4E93-91E0-29C2111B2AFB}"/>
            </a:ext>
          </a:extLst>
        </xdr:cNvPr>
        <xdr:cNvGrpSpPr/>
      </xdr:nvGrpSpPr>
      <xdr:grpSpPr>
        <a:xfrm>
          <a:off x="13280811" y="986768"/>
          <a:ext cx="1384443" cy="787191"/>
          <a:chOff x="13903035" y="977826"/>
          <a:chExt cx="1474788" cy="756999"/>
        </a:xfrm>
      </xdr:grpSpPr>
      <xdr:sp macro="" textlink="">
        <xdr:nvSpPr>
          <xdr:cNvPr id="5" name="Oval 4">
            <a:extLst>
              <a:ext uri="{FF2B5EF4-FFF2-40B4-BE49-F238E27FC236}">
                <a16:creationId xmlns:a16="http://schemas.microsoft.com/office/drawing/2014/main" id="{8E368B0A-A8D5-168E-03D9-DF3564E16085}"/>
              </a:ext>
            </a:extLst>
          </xdr:cNvPr>
          <xdr:cNvSpPr/>
        </xdr:nvSpPr>
        <xdr:spPr>
          <a:xfrm>
            <a:off x="13913860" y="1556328"/>
            <a:ext cx="127000" cy="124619"/>
          </a:xfrm>
          <a:prstGeom prst="ellipse">
            <a:avLst/>
          </a:prstGeom>
          <a:noFill/>
          <a:ln w="19050" cap="flat" cmpd="sng" algn="ctr">
            <a:solidFill>
              <a:srgbClr val="4EA72E"/>
            </a:solidFill>
            <a:prstDash val="solid"/>
            <a:miter lim="800000"/>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6" name="Group 5">
            <a:extLst>
              <a:ext uri="{FF2B5EF4-FFF2-40B4-BE49-F238E27FC236}">
                <a16:creationId xmlns:a16="http://schemas.microsoft.com/office/drawing/2014/main" id="{20B2863A-C4D0-62A3-320C-721BFD877DB8}"/>
              </a:ext>
            </a:extLst>
          </xdr:cNvPr>
          <xdr:cNvGrpSpPr/>
        </xdr:nvGrpSpPr>
        <xdr:grpSpPr>
          <a:xfrm>
            <a:off x="13903035" y="977826"/>
            <a:ext cx="1474788" cy="756999"/>
            <a:chOff x="7625195" y="1188892"/>
            <a:chExt cx="1474788" cy="756999"/>
          </a:xfrm>
        </xdr:grpSpPr>
        <xdr:sp macro="" textlink="">
          <xdr:nvSpPr>
            <xdr:cNvPr id="7" name="TextBox 6">
              <a:extLst>
                <a:ext uri="{FF2B5EF4-FFF2-40B4-BE49-F238E27FC236}">
                  <a16:creationId xmlns:a16="http://schemas.microsoft.com/office/drawing/2014/main" id="{0AD0BEFC-06E9-11D7-60D1-E447CFE849F6}"/>
                </a:ext>
              </a:extLst>
            </xdr:cNvPr>
            <xdr:cNvSpPr txBox="1"/>
          </xdr:nvSpPr>
          <xdr:spPr>
            <a:xfrm>
              <a:off x="7826519" y="1188892"/>
              <a:ext cx="1273464" cy="20979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000">
                  <a:latin typeface="Calibri" panose="020F0502020204030204" pitchFamily="34" charset="0"/>
                </a:rPr>
                <a:t>Brazil</a:t>
              </a:r>
            </a:p>
          </xdr:txBody>
        </xdr:sp>
        <xdr:sp macro="" textlink="">
          <xdr:nvSpPr>
            <xdr:cNvPr id="8" name="Oval 7">
              <a:extLst>
                <a:ext uri="{FF2B5EF4-FFF2-40B4-BE49-F238E27FC236}">
                  <a16:creationId xmlns:a16="http://schemas.microsoft.com/office/drawing/2014/main" id="{F42D4B55-651A-C13F-CCD4-3A2AFD5061D9}"/>
                </a:ext>
              </a:extLst>
            </xdr:cNvPr>
            <xdr:cNvSpPr/>
          </xdr:nvSpPr>
          <xdr:spPr>
            <a:xfrm>
              <a:off x="7625195" y="1504950"/>
              <a:ext cx="127000" cy="124619"/>
            </a:xfrm>
            <a:prstGeom prst="ellipse">
              <a:avLst/>
            </a:prstGeom>
            <a:noFill/>
            <a:ln w="19050" cap="flat" cmpd="sng" algn="ctr">
              <a:solidFill>
                <a:srgbClr val="D9A441"/>
              </a:solidFill>
              <a:prstDash val="solid"/>
              <a:miter lim="800000"/>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TextBox 8">
              <a:extLst>
                <a:ext uri="{FF2B5EF4-FFF2-40B4-BE49-F238E27FC236}">
                  <a16:creationId xmlns:a16="http://schemas.microsoft.com/office/drawing/2014/main" id="{FFB4A8B5-070C-AD7C-5223-30A85DA799AF}"/>
                </a:ext>
              </a:extLst>
            </xdr:cNvPr>
            <xdr:cNvSpPr txBox="1"/>
          </xdr:nvSpPr>
          <xdr:spPr>
            <a:xfrm>
              <a:off x="7815695" y="1448954"/>
              <a:ext cx="1273464" cy="24017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000">
                  <a:latin typeface="Calibri" panose="020F0502020204030204" pitchFamily="34" charset="0"/>
                </a:rPr>
                <a:t>Costa Rica</a:t>
              </a:r>
            </a:p>
          </xdr:txBody>
        </xdr:sp>
        <xdr:sp macro="" textlink="">
          <xdr:nvSpPr>
            <xdr:cNvPr id="10" name="TextBox 9">
              <a:extLst>
                <a:ext uri="{FF2B5EF4-FFF2-40B4-BE49-F238E27FC236}">
                  <a16:creationId xmlns:a16="http://schemas.microsoft.com/office/drawing/2014/main" id="{FAD88DFE-8288-F81F-D0EF-E82753630AEA}"/>
                </a:ext>
              </a:extLst>
            </xdr:cNvPr>
            <xdr:cNvSpPr txBox="1"/>
          </xdr:nvSpPr>
          <xdr:spPr>
            <a:xfrm>
              <a:off x="7815695" y="1705985"/>
              <a:ext cx="1273464" cy="239906"/>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000">
                  <a:latin typeface="Calibri" panose="020F0502020204030204" pitchFamily="34" charset="0"/>
                </a:rPr>
                <a:t>Mexico</a:t>
              </a:r>
            </a:p>
          </xdr:txBody>
        </xdr:sp>
      </xdr:grpSp>
    </xdr:grpSp>
    <xdr:clientData/>
  </xdr:twoCellAnchor>
  <xdr:twoCellAnchor>
    <xdr:from>
      <xdr:col>10</xdr:col>
      <xdr:colOff>556871</xdr:colOff>
      <xdr:row>18</xdr:row>
      <xdr:rowOff>9247</xdr:rowOff>
    </xdr:from>
    <xdr:to>
      <xdr:col>12</xdr:col>
      <xdr:colOff>203445</xdr:colOff>
      <xdr:row>19</xdr:row>
      <xdr:rowOff>133572</xdr:rowOff>
    </xdr:to>
    <xdr:cxnSp macro="">
      <xdr:nvCxnSpPr>
        <xdr:cNvPr id="11" name="Straight Connector 10">
          <a:extLst>
            <a:ext uri="{FF2B5EF4-FFF2-40B4-BE49-F238E27FC236}">
              <a16:creationId xmlns:a16="http://schemas.microsoft.com/office/drawing/2014/main" id="{B01B21DE-FEF0-470D-AFFB-4C52F4490964}"/>
            </a:ext>
          </a:extLst>
        </xdr:cNvPr>
        <xdr:cNvCxnSpPr/>
      </xdr:nvCxnSpPr>
      <xdr:spPr>
        <a:xfrm flipH="1">
          <a:off x="9153184" y="3266797"/>
          <a:ext cx="941974" cy="305300"/>
        </a:xfrm>
        <a:prstGeom prst="line">
          <a:avLst/>
        </a:prstGeom>
        <a:ln w="6350">
          <a:solidFill>
            <a:schemeClr val="bg2">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393547</xdr:colOff>
      <xdr:row>9</xdr:row>
      <xdr:rowOff>50861</xdr:rowOff>
    </xdr:from>
    <xdr:to>
      <xdr:col>15</xdr:col>
      <xdr:colOff>425388</xdr:colOff>
      <xdr:row>11</xdr:row>
      <xdr:rowOff>53331</xdr:rowOff>
    </xdr:to>
    <xdr:cxnSp macro="">
      <xdr:nvCxnSpPr>
        <xdr:cNvPr id="12" name="Straight Connector 11">
          <a:extLst>
            <a:ext uri="{FF2B5EF4-FFF2-40B4-BE49-F238E27FC236}">
              <a16:creationId xmlns:a16="http://schemas.microsoft.com/office/drawing/2014/main" id="{D6C432A5-FD63-4930-BD4D-F5C95F4E709D}"/>
            </a:ext>
          </a:extLst>
        </xdr:cNvPr>
        <xdr:cNvCxnSpPr/>
      </xdr:nvCxnSpPr>
      <xdr:spPr>
        <a:xfrm flipV="1">
          <a:off x="11580660" y="1679636"/>
          <a:ext cx="679541" cy="364420"/>
        </a:xfrm>
        <a:prstGeom prst="line">
          <a:avLst/>
        </a:prstGeom>
        <a:ln w="6350">
          <a:solidFill>
            <a:schemeClr val="bg2">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601091</xdr:colOff>
      <xdr:row>9</xdr:row>
      <xdr:rowOff>143757</xdr:rowOff>
    </xdr:from>
    <xdr:to>
      <xdr:col>15</xdr:col>
      <xdr:colOff>476197</xdr:colOff>
      <xdr:row>13</xdr:row>
      <xdr:rowOff>9247</xdr:rowOff>
    </xdr:to>
    <xdr:cxnSp macro="">
      <xdr:nvCxnSpPr>
        <xdr:cNvPr id="13" name="Straight Connector 12">
          <a:extLst>
            <a:ext uri="{FF2B5EF4-FFF2-40B4-BE49-F238E27FC236}">
              <a16:creationId xmlns:a16="http://schemas.microsoft.com/office/drawing/2014/main" id="{FED0D764-0ED4-409E-AD02-B741721268CC}"/>
            </a:ext>
          </a:extLst>
        </xdr:cNvPr>
        <xdr:cNvCxnSpPr/>
      </xdr:nvCxnSpPr>
      <xdr:spPr>
        <a:xfrm flipV="1">
          <a:off x="11788204" y="1772532"/>
          <a:ext cx="522806" cy="589390"/>
        </a:xfrm>
        <a:prstGeom prst="line">
          <a:avLst/>
        </a:prstGeom>
        <a:ln w="6350">
          <a:solidFill>
            <a:schemeClr val="bg2">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183703</xdr:colOff>
      <xdr:row>15</xdr:row>
      <xdr:rowOff>74948</xdr:rowOff>
    </xdr:from>
    <xdr:to>
      <xdr:col>15</xdr:col>
      <xdr:colOff>245060</xdr:colOff>
      <xdr:row>16</xdr:row>
      <xdr:rowOff>101723</xdr:rowOff>
    </xdr:to>
    <xdr:cxnSp macro="">
      <xdr:nvCxnSpPr>
        <xdr:cNvPr id="14" name="Straight Connector 13">
          <a:extLst>
            <a:ext uri="{FF2B5EF4-FFF2-40B4-BE49-F238E27FC236}">
              <a16:creationId xmlns:a16="http://schemas.microsoft.com/office/drawing/2014/main" id="{646B15E6-3483-4CF0-9571-2CC972B0C441}"/>
            </a:ext>
          </a:extLst>
        </xdr:cNvPr>
        <xdr:cNvCxnSpPr/>
      </xdr:nvCxnSpPr>
      <xdr:spPr>
        <a:xfrm>
          <a:off x="12018516" y="2789573"/>
          <a:ext cx="61357" cy="207750"/>
        </a:xfrm>
        <a:prstGeom prst="line">
          <a:avLst/>
        </a:prstGeom>
        <a:ln w="6350">
          <a:solidFill>
            <a:schemeClr val="bg2">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18.xml><?xml version="1.0" encoding="utf-8"?>
<c:userShapes xmlns:c="http://schemas.openxmlformats.org/drawingml/2006/chart">
  <cdr:relSizeAnchor xmlns:cdr="http://schemas.openxmlformats.org/drawingml/2006/chartDrawing">
    <cdr:from>
      <cdr:x>0.23671</cdr:x>
      <cdr:y>0.51091</cdr:y>
    </cdr:from>
    <cdr:to>
      <cdr:x>0.25317</cdr:x>
      <cdr:y>0.59569</cdr:y>
    </cdr:to>
    <cdr:cxnSp macro="">
      <cdr:nvCxnSpPr>
        <cdr:cNvPr id="3" name="Straight Connector 2">
          <a:extLst xmlns:a="http://schemas.openxmlformats.org/drawingml/2006/main">
            <a:ext uri="{FF2B5EF4-FFF2-40B4-BE49-F238E27FC236}">
              <a16:creationId xmlns:a16="http://schemas.microsoft.com/office/drawing/2014/main" id="{238B2825-61DE-5AF5-729D-F6757A8E4826}"/>
            </a:ext>
          </a:extLst>
        </cdr:cNvPr>
        <cdr:cNvCxnSpPr/>
      </cdr:nvCxnSpPr>
      <cdr:spPr>
        <a:xfrm xmlns:a="http://schemas.openxmlformats.org/drawingml/2006/main" flipH="1">
          <a:off x="1853766" y="2292290"/>
          <a:ext cx="128902" cy="380381"/>
        </a:xfrm>
        <a:prstGeom xmlns:a="http://schemas.openxmlformats.org/drawingml/2006/main" prst="line">
          <a:avLst/>
        </a:prstGeom>
        <a:ln xmlns:a="http://schemas.openxmlformats.org/drawingml/2006/main" w="6350">
          <a:solidFill>
            <a:schemeClr val="bg2">
              <a:lumMod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0.71423</cdr:x>
      <cdr:y>0.40706</cdr:y>
    </cdr:from>
    <cdr:to>
      <cdr:x>0.72576</cdr:x>
      <cdr:y>0.44319</cdr:y>
    </cdr:to>
    <cdr:cxnSp macro="">
      <cdr:nvCxnSpPr>
        <cdr:cNvPr id="5" name="Straight Connector 4">
          <a:extLst xmlns:a="http://schemas.openxmlformats.org/drawingml/2006/main">
            <a:ext uri="{FF2B5EF4-FFF2-40B4-BE49-F238E27FC236}">
              <a16:creationId xmlns:a16="http://schemas.microsoft.com/office/drawing/2014/main" id="{3048ECC9-555A-8361-1F44-1E3312DCCF59}"/>
            </a:ext>
          </a:extLst>
        </cdr:cNvPr>
        <cdr:cNvCxnSpPr/>
      </cdr:nvCxnSpPr>
      <cdr:spPr>
        <a:xfrm xmlns:a="http://schemas.openxmlformats.org/drawingml/2006/main" flipH="1">
          <a:off x="5593358" y="1826342"/>
          <a:ext cx="90299" cy="162129"/>
        </a:xfrm>
        <a:prstGeom xmlns:a="http://schemas.openxmlformats.org/drawingml/2006/main" prst="line">
          <a:avLst/>
        </a:prstGeom>
        <a:ln xmlns:a="http://schemas.openxmlformats.org/drawingml/2006/main" w="6350">
          <a:solidFill>
            <a:schemeClr val="bg2">
              <a:lumMod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0.30094</cdr:x>
      <cdr:y>0.20088</cdr:y>
    </cdr:from>
    <cdr:to>
      <cdr:x>0.32155</cdr:x>
      <cdr:y>0.3659</cdr:y>
    </cdr:to>
    <cdr:cxnSp macro="">
      <cdr:nvCxnSpPr>
        <cdr:cNvPr id="7" name="Straight Connector 6">
          <a:extLst xmlns:a="http://schemas.openxmlformats.org/drawingml/2006/main">
            <a:ext uri="{FF2B5EF4-FFF2-40B4-BE49-F238E27FC236}">
              <a16:creationId xmlns:a16="http://schemas.microsoft.com/office/drawing/2014/main" id="{D52BBA58-2B35-4882-4F08-CB4F92168E93}"/>
            </a:ext>
          </a:extLst>
        </cdr:cNvPr>
        <cdr:cNvCxnSpPr/>
      </cdr:nvCxnSpPr>
      <cdr:spPr>
        <a:xfrm xmlns:a="http://schemas.openxmlformats.org/drawingml/2006/main" flipV="1">
          <a:off x="2356707" y="901278"/>
          <a:ext cx="161445" cy="740409"/>
        </a:xfrm>
        <a:prstGeom xmlns:a="http://schemas.openxmlformats.org/drawingml/2006/main" prst="line">
          <a:avLst/>
        </a:prstGeom>
        <a:ln xmlns:a="http://schemas.openxmlformats.org/drawingml/2006/main" w="6350">
          <a:solidFill>
            <a:schemeClr val="bg2">
              <a:lumMod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19.xml><?xml version="1.0" encoding="utf-8"?>
<xdr:wsDr xmlns:xdr="http://schemas.openxmlformats.org/drawingml/2006/spreadsheetDrawing" xmlns:a="http://schemas.openxmlformats.org/drawingml/2006/main">
  <xdr:twoCellAnchor>
    <xdr:from>
      <xdr:col>5</xdr:col>
      <xdr:colOff>21669</xdr:colOff>
      <xdr:row>2</xdr:row>
      <xdr:rowOff>165180</xdr:rowOff>
    </xdr:from>
    <xdr:to>
      <xdr:col>16</xdr:col>
      <xdr:colOff>547718</xdr:colOff>
      <xdr:row>23</xdr:row>
      <xdr:rowOff>121843</xdr:rowOff>
    </xdr:to>
    <xdr:graphicFrame macro="">
      <xdr:nvGraphicFramePr>
        <xdr:cNvPr id="2" name="Chart 1">
          <a:extLst>
            <a:ext uri="{FF2B5EF4-FFF2-40B4-BE49-F238E27FC236}">
              <a16:creationId xmlns:a16="http://schemas.microsoft.com/office/drawing/2014/main" id="{A20E2882-6DD7-4E0A-94B9-ABF1568273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82</xdr:row>
      <xdr:rowOff>30066</xdr:rowOff>
    </xdr:from>
    <xdr:to>
      <xdr:col>5</xdr:col>
      <xdr:colOff>0</xdr:colOff>
      <xdr:row>108</xdr:row>
      <xdr:rowOff>4762</xdr:rowOff>
    </xdr:to>
    <xdr:graphicFrame macro="">
      <xdr:nvGraphicFramePr>
        <xdr:cNvPr id="2" name="Chart 1">
          <a:extLst>
            <a:ext uri="{FF2B5EF4-FFF2-40B4-BE49-F238E27FC236}">
              <a16:creationId xmlns:a16="http://schemas.microsoft.com/office/drawing/2014/main" id="{364E807C-44FB-4342-A532-6EE523D072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8283</xdr:colOff>
      <xdr:row>21</xdr:row>
      <xdr:rowOff>73175</xdr:rowOff>
    </xdr:from>
    <xdr:to>
      <xdr:col>6</xdr:col>
      <xdr:colOff>291799</xdr:colOff>
      <xdr:row>28</xdr:row>
      <xdr:rowOff>776081</xdr:rowOff>
    </xdr:to>
    <xdr:graphicFrame macro="">
      <xdr:nvGraphicFramePr>
        <xdr:cNvPr id="3" name="Chart 3">
          <a:extLst>
            <a:ext uri="{FF2B5EF4-FFF2-40B4-BE49-F238E27FC236}">
              <a16:creationId xmlns:a16="http://schemas.microsoft.com/office/drawing/2014/main" id="{FD31A404-8DAC-495D-99A2-7F4AB9C81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Luis Eduardo Castellanos Rodriguez" id="{26066CA6-B1F2-4A86-932D-1202785B5EB9}" userId="S::lcastellanosrodr@worldbank.org::23aa93c8-ff8b-46c8-9b81-41ee99ef3c21" providerId="AD"/>
</personList>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2025-03-28-Semmianual-new-graphs-V30.xlsm"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talina Garcia Garcia" refreshedDate="45751.537390046295" createdVersion="8" refreshedVersion="8" minRefreshableVersion="3" recordCount="28" xr:uid="{5E3E144B-F228-4888-96FC-AE614AA86F5F}">
  <cacheSource type="worksheet">
    <worksheetSource ref="A1:C29" sheet="04 Number Jobs" r:id="rId2"/>
  </cacheSource>
  <cacheFields count="3">
    <cacheField name="Category" numFmtId="0">
      <sharedItems count="8">
        <s v="Age"/>
        <s v="Firm Size"/>
        <s v="Gender"/>
        <s v="Labor Status"/>
        <s v="Sector"/>
        <s v="Skill level"/>
        <s v="Urban"/>
        <s v="Relab" u="1"/>
      </sharedItems>
    </cacheField>
    <cacheField name="Subcategory" numFmtId="0">
      <sharedItems count="28">
        <s v="15-24"/>
        <s v="64+"/>
        <s v="55-64"/>
        <s v=" 45-54"/>
        <s v="25-44"/>
        <s v="Public"/>
        <s v="Small"/>
        <s v="Big"/>
        <s v="Men"/>
        <s v="Women"/>
        <s v="Unpaid workers"/>
        <s v="Employer"/>
        <s v="Self-employed"/>
        <s v="Employee"/>
        <s v="Primary Activities"/>
        <s v="Domestic Service"/>
        <s v="Public Administration and Defense"/>
        <s v="Construction"/>
        <s v="Industry"/>
        <s v="Electricity, Gas, Water, Transport, Communications"/>
        <s v="Banks, Finance, Insurance, Professional Services"/>
        <s v="Education, Health, Personal Services"/>
        <s v="Retail and Wholesale Trade, Restaurants, Hotels, Repairs"/>
        <s v="Low"/>
        <s v="High"/>
        <s v="Middle"/>
        <s v="Rural"/>
        <s v="Urban"/>
      </sharedItems>
    </cacheField>
    <cacheField name="Value" numFmtId="3">
      <sharedItems containsSemiMixedTypes="0" containsString="0" containsNumber="1" containsInteger="1" minValue="-7312667" maxValue="2589401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x v="0"/>
    <x v="0"/>
    <n v="648381"/>
  </r>
  <r>
    <x v="0"/>
    <x v="1"/>
    <n v="2712764"/>
  </r>
  <r>
    <x v="0"/>
    <x v="2"/>
    <n v="5799377"/>
  </r>
  <r>
    <x v="0"/>
    <x v="3"/>
    <n v="6862143"/>
  </r>
  <r>
    <x v="0"/>
    <x v="4"/>
    <n v="10692196"/>
  </r>
  <r>
    <x v="1"/>
    <x v="5"/>
    <n v="3447003"/>
  </r>
  <r>
    <x v="1"/>
    <x v="6"/>
    <n v="7897949"/>
  </r>
  <r>
    <x v="1"/>
    <x v="7"/>
    <n v="11071089"/>
  </r>
  <r>
    <x v="2"/>
    <x v="8"/>
    <n v="11940745"/>
  </r>
  <r>
    <x v="2"/>
    <x v="9"/>
    <n v="14157797"/>
  </r>
  <r>
    <x v="3"/>
    <x v="10"/>
    <n v="-917765"/>
  </r>
  <r>
    <x v="3"/>
    <x v="11"/>
    <n v="1634175"/>
  </r>
  <r>
    <x v="3"/>
    <x v="12"/>
    <n v="7367341"/>
  </r>
  <r>
    <x v="3"/>
    <x v="13"/>
    <n v="18596310"/>
  </r>
  <r>
    <x v="4"/>
    <x v="14"/>
    <n v="-1264774"/>
  </r>
  <r>
    <x v="4"/>
    <x v="15"/>
    <n v="-19852"/>
  </r>
  <r>
    <x v="4"/>
    <x v="16"/>
    <n v="703623"/>
  </r>
  <r>
    <x v="4"/>
    <x v="17"/>
    <n v="1004913"/>
  </r>
  <r>
    <x v="4"/>
    <x v="18"/>
    <n v="2889622"/>
  </r>
  <r>
    <x v="4"/>
    <x v="19"/>
    <n v="3310643"/>
  </r>
  <r>
    <x v="4"/>
    <x v="20"/>
    <n v="4634842"/>
  </r>
  <r>
    <x v="4"/>
    <x v="21"/>
    <n v="7337292"/>
  </r>
  <r>
    <x v="4"/>
    <x v="22"/>
    <n v="7950967"/>
  </r>
  <r>
    <x v="5"/>
    <x v="23"/>
    <n v="-7312667"/>
  </r>
  <r>
    <x v="5"/>
    <x v="24"/>
    <n v="15198561"/>
  </r>
  <r>
    <x v="5"/>
    <x v="25"/>
    <n v="18818162"/>
  </r>
  <r>
    <x v="6"/>
    <x v="26"/>
    <n v="820846"/>
  </r>
  <r>
    <x v="6"/>
    <x v="27"/>
    <n v="258940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57E010-0F84-4B54-89A7-598439F20493}"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2:AH11" firstHeaderRow="1" firstDataRow="2" firstDataCol="1"/>
  <pivotFields count="3">
    <pivotField axis="axisRow" showAll="0" sortType="ascending">
      <items count="9">
        <item x="0"/>
        <item x="1"/>
        <item x="2"/>
        <item m="1" x="7"/>
        <item x="4"/>
        <item x="5"/>
        <item x="6"/>
        <item x="3"/>
        <item t="default"/>
      </items>
      <autoSortScope>
        <pivotArea dataOnly="0" outline="0" fieldPosition="0">
          <references count="2">
            <reference field="4294967294" count="1" selected="0">
              <x v="0"/>
            </reference>
            <reference field="1" count="1" selected="0">
              <x v="18"/>
            </reference>
          </references>
        </pivotArea>
      </autoSortScope>
    </pivotField>
    <pivotField axis="axisCol" showAll="0" sortType="descending">
      <items count="29">
        <item x="9"/>
        <item x="27"/>
        <item x="10"/>
        <item x="6"/>
        <item x="12"/>
        <item x="26"/>
        <item x="22"/>
        <item x="16"/>
        <item x="5"/>
        <item x="14"/>
        <item x="25"/>
        <item x="8"/>
        <item x="23"/>
        <item x="18"/>
        <item x="24"/>
        <item x="11"/>
        <item x="13"/>
        <item x="19"/>
        <item x="21"/>
        <item x="15"/>
        <item x="17"/>
        <item x="7"/>
        <item x="20"/>
        <item x="1"/>
        <item x="2"/>
        <item x="4"/>
        <item x="0"/>
        <item x="3"/>
        <item t="default"/>
      </items>
      <autoSortScope>
        <pivotArea dataOnly="0" outline="0" fieldPosition="0">
          <references count="1">
            <reference field="4294967294" count="1" selected="0">
              <x v="0"/>
            </reference>
          </references>
        </pivotArea>
      </autoSortScope>
    </pivotField>
    <pivotField dataField="1" numFmtId="3" showAll="0"/>
  </pivotFields>
  <rowFields count="1">
    <field x="0"/>
  </rowFields>
  <rowItems count="8">
    <i>
      <x v="2"/>
    </i>
    <i>
      <x/>
    </i>
    <i>
      <x v="1"/>
    </i>
    <i>
      <x v="5"/>
    </i>
    <i>
      <x v="7"/>
    </i>
    <i>
      <x v="6"/>
    </i>
    <i>
      <x v="4"/>
    </i>
    <i t="grand">
      <x/>
    </i>
  </rowItems>
  <colFields count="1">
    <field x="1"/>
  </colFields>
  <colItems count="29">
    <i>
      <x v="1"/>
    </i>
    <i>
      <x v="10"/>
    </i>
    <i>
      <x v="16"/>
    </i>
    <i>
      <x v="14"/>
    </i>
    <i>
      <x/>
    </i>
    <i>
      <x v="11"/>
    </i>
    <i>
      <x v="21"/>
    </i>
    <i>
      <x v="25"/>
    </i>
    <i>
      <x v="6"/>
    </i>
    <i>
      <x v="3"/>
    </i>
    <i>
      <x v="4"/>
    </i>
    <i>
      <x v="18"/>
    </i>
    <i>
      <x v="27"/>
    </i>
    <i>
      <x v="24"/>
    </i>
    <i>
      <x v="22"/>
    </i>
    <i>
      <x v="8"/>
    </i>
    <i>
      <x v="17"/>
    </i>
    <i>
      <x v="13"/>
    </i>
    <i>
      <x v="23"/>
    </i>
    <i>
      <x v="15"/>
    </i>
    <i>
      <x v="20"/>
    </i>
    <i>
      <x v="5"/>
    </i>
    <i>
      <x v="7"/>
    </i>
    <i>
      <x v="26"/>
    </i>
    <i>
      <x v="19"/>
    </i>
    <i>
      <x v="2"/>
    </i>
    <i>
      <x v="9"/>
    </i>
    <i>
      <x v="12"/>
    </i>
    <i t="grand">
      <x/>
    </i>
  </colItems>
  <dataFields count="1">
    <dataField name="Sum of Value" fld="2" baseField="0" baseItem="0" numFmtId="3"/>
  </dataFields>
  <chartFormats count="80">
    <chartFormat chart="0" format="172" series="1">
      <pivotArea type="data" outline="0" fieldPosition="0">
        <references count="2">
          <reference field="4294967294" count="1" selected="0">
            <x v="0"/>
          </reference>
          <reference field="1" count="1" selected="0">
            <x v="1"/>
          </reference>
        </references>
      </pivotArea>
    </chartFormat>
    <chartFormat chart="0" format="173" series="1">
      <pivotArea type="data" outline="0" fieldPosition="0">
        <references count="2">
          <reference field="4294967294" count="1" selected="0">
            <x v="0"/>
          </reference>
          <reference field="1" count="1" selected="0">
            <x v="10"/>
          </reference>
        </references>
      </pivotArea>
    </chartFormat>
    <chartFormat chart="0" format="174" series="1">
      <pivotArea type="data" outline="0" fieldPosition="0">
        <references count="2">
          <reference field="4294967294" count="1" selected="0">
            <x v="0"/>
          </reference>
          <reference field="1" count="1" selected="0">
            <x v="16"/>
          </reference>
        </references>
      </pivotArea>
    </chartFormat>
    <chartFormat chart="0" format="175" series="1">
      <pivotArea type="data" outline="0" fieldPosition="0">
        <references count="2">
          <reference field="4294967294" count="1" selected="0">
            <x v="0"/>
          </reference>
          <reference field="1" count="1" selected="0">
            <x v="14"/>
          </reference>
        </references>
      </pivotArea>
    </chartFormat>
    <chartFormat chart="0" format="176" series="1">
      <pivotArea type="data" outline="0" fieldPosition="0">
        <references count="2">
          <reference field="4294967294" count="1" selected="0">
            <x v="0"/>
          </reference>
          <reference field="1" count="1" selected="0">
            <x v="0"/>
          </reference>
        </references>
      </pivotArea>
    </chartFormat>
    <chartFormat chart="0" format="177" series="1">
      <pivotArea type="data" outline="0" fieldPosition="0">
        <references count="2">
          <reference field="4294967294" count="1" selected="0">
            <x v="0"/>
          </reference>
          <reference field="1" count="1" selected="0">
            <x v="11"/>
          </reference>
        </references>
      </pivotArea>
    </chartFormat>
    <chartFormat chart="0" format="178" series="1">
      <pivotArea type="data" outline="0" fieldPosition="0">
        <references count="2">
          <reference field="4294967294" count="1" selected="0">
            <x v="0"/>
          </reference>
          <reference field="1" count="1" selected="0">
            <x v="21"/>
          </reference>
        </references>
      </pivotArea>
    </chartFormat>
    <chartFormat chart="0" format="179" series="1">
      <pivotArea type="data" outline="0" fieldPosition="0">
        <references count="2">
          <reference field="4294967294" count="1" selected="0">
            <x v="0"/>
          </reference>
          <reference field="1" count="1" selected="0">
            <x v="25"/>
          </reference>
        </references>
      </pivotArea>
    </chartFormat>
    <chartFormat chart="0" format="180" series="1">
      <pivotArea type="data" outline="0" fieldPosition="0">
        <references count="2">
          <reference field="4294967294" count="1" selected="0">
            <x v="0"/>
          </reference>
          <reference field="1" count="1" selected="0">
            <x v="6"/>
          </reference>
        </references>
      </pivotArea>
    </chartFormat>
    <chartFormat chart="0" format="181">
      <pivotArea type="data" outline="0" fieldPosition="0">
        <references count="3">
          <reference field="4294967294" count="1" selected="0">
            <x v="0"/>
          </reference>
          <reference field="0" count="1" selected="0">
            <x v="4"/>
          </reference>
          <reference field="1" count="1" selected="0">
            <x v="6"/>
          </reference>
        </references>
      </pivotArea>
    </chartFormat>
    <chartFormat chart="0" format="182" series="1">
      <pivotArea type="data" outline="0" fieldPosition="0">
        <references count="2">
          <reference field="4294967294" count="1" selected="0">
            <x v="0"/>
          </reference>
          <reference field="1" count="1" selected="0">
            <x v="3"/>
          </reference>
        </references>
      </pivotArea>
    </chartFormat>
    <chartFormat chart="0" format="183" series="1">
      <pivotArea type="data" outline="0" fieldPosition="0">
        <references count="2">
          <reference field="4294967294" count="1" selected="0">
            <x v="0"/>
          </reference>
          <reference field="1" count="1" selected="0">
            <x v="4"/>
          </reference>
        </references>
      </pivotArea>
    </chartFormat>
    <chartFormat chart="0" format="184">
      <pivotArea type="data" outline="0" fieldPosition="0">
        <references count="3">
          <reference field="4294967294" count="1" selected="0">
            <x v="0"/>
          </reference>
          <reference field="0" count="1" selected="0">
            <x v="7"/>
          </reference>
          <reference field="1" count="1" selected="0">
            <x v="4"/>
          </reference>
        </references>
      </pivotArea>
    </chartFormat>
    <chartFormat chart="0" format="185" series="1">
      <pivotArea type="data" outline="0" fieldPosition="0">
        <references count="2">
          <reference field="4294967294" count="1" selected="0">
            <x v="0"/>
          </reference>
          <reference field="1" count="1" selected="0">
            <x v="18"/>
          </reference>
        </references>
      </pivotArea>
    </chartFormat>
    <chartFormat chart="0" format="186">
      <pivotArea type="data" outline="0" fieldPosition="0">
        <references count="3">
          <reference field="4294967294" count="1" selected="0">
            <x v="0"/>
          </reference>
          <reference field="0" count="1" selected="0">
            <x v="4"/>
          </reference>
          <reference field="1" count="1" selected="0">
            <x v="18"/>
          </reference>
        </references>
      </pivotArea>
    </chartFormat>
    <chartFormat chart="0" format="187" series="1">
      <pivotArea type="data" outline="0" fieldPosition="0">
        <references count="2">
          <reference field="4294967294" count="1" selected="0">
            <x v="0"/>
          </reference>
          <reference field="1" count="1" selected="0">
            <x v="27"/>
          </reference>
        </references>
      </pivotArea>
    </chartFormat>
    <chartFormat chart="0" format="188" series="1">
      <pivotArea type="data" outline="0" fieldPosition="0">
        <references count="2">
          <reference field="4294967294" count="1" selected="0">
            <x v="0"/>
          </reference>
          <reference field="1" count="1" selected="0">
            <x v="24"/>
          </reference>
        </references>
      </pivotArea>
    </chartFormat>
    <chartFormat chart="0" format="189" series="1">
      <pivotArea type="data" outline="0" fieldPosition="0">
        <references count="2">
          <reference field="4294967294" count="1" selected="0">
            <x v="0"/>
          </reference>
          <reference field="1" count="1" selected="0">
            <x v="22"/>
          </reference>
        </references>
      </pivotArea>
    </chartFormat>
    <chartFormat chart="0" format="190">
      <pivotArea type="data" outline="0" fieldPosition="0">
        <references count="3">
          <reference field="4294967294" count="1" selected="0">
            <x v="0"/>
          </reference>
          <reference field="0" count="1" selected="0">
            <x v="4"/>
          </reference>
          <reference field="1" count="1" selected="0">
            <x v="22"/>
          </reference>
        </references>
      </pivotArea>
    </chartFormat>
    <chartFormat chart="0" format="191" series="1">
      <pivotArea type="data" outline="0" fieldPosition="0">
        <references count="2">
          <reference field="4294967294" count="1" selected="0">
            <x v="0"/>
          </reference>
          <reference field="1" count="1" selected="0">
            <x v="8"/>
          </reference>
        </references>
      </pivotArea>
    </chartFormat>
    <chartFormat chart="0" format="192" series="1">
      <pivotArea type="data" outline="0" fieldPosition="0">
        <references count="2">
          <reference field="4294967294" count="1" selected="0">
            <x v="0"/>
          </reference>
          <reference field="1" count="1" selected="0">
            <x v="17"/>
          </reference>
        </references>
      </pivotArea>
    </chartFormat>
    <chartFormat chart="0" format="193">
      <pivotArea type="data" outline="0" fieldPosition="0">
        <references count="3">
          <reference field="4294967294" count="1" selected="0">
            <x v="0"/>
          </reference>
          <reference field="0" count="1" selected="0">
            <x v="4"/>
          </reference>
          <reference field="1" count="1" selected="0">
            <x v="17"/>
          </reference>
        </references>
      </pivotArea>
    </chartFormat>
    <chartFormat chart="0" format="194" series="1">
      <pivotArea type="data" outline="0" fieldPosition="0">
        <references count="2">
          <reference field="4294967294" count="1" selected="0">
            <x v="0"/>
          </reference>
          <reference field="1" count="1" selected="0">
            <x v="13"/>
          </reference>
        </references>
      </pivotArea>
    </chartFormat>
    <chartFormat chart="0" format="195">
      <pivotArea type="data" outline="0" fieldPosition="0">
        <references count="3">
          <reference field="4294967294" count="1" selected="0">
            <x v="0"/>
          </reference>
          <reference field="0" count="1" selected="0">
            <x v="4"/>
          </reference>
          <reference field="1" count="1" selected="0">
            <x v="13"/>
          </reference>
        </references>
      </pivotArea>
    </chartFormat>
    <chartFormat chart="0" format="196" series="1">
      <pivotArea type="data" outline="0" fieldPosition="0">
        <references count="2">
          <reference field="4294967294" count="1" selected="0">
            <x v="0"/>
          </reference>
          <reference field="1" count="1" selected="0">
            <x v="23"/>
          </reference>
        </references>
      </pivotArea>
    </chartFormat>
    <chartFormat chart="0" format="197">
      <pivotArea type="data" outline="0" fieldPosition="0">
        <references count="3">
          <reference field="4294967294" count="1" selected="0">
            <x v="0"/>
          </reference>
          <reference field="0" count="1" selected="0">
            <x v="0"/>
          </reference>
          <reference field="1" count="1" selected="0">
            <x v="23"/>
          </reference>
        </references>
      </pivotArea>
    </chartFormat>
    <chartFormat chart="0" format="198" series="1">
      <pivotArea type="data" outline="0" fieldPosition="0">
        <references count="2">
          <reference field="4294967294" count="1" selected="0">
            <x v="0"/>
          </reference>
          <reference field="1" count="1" selected="0">
            <x v="15"/>
          </reference>
        </references>
      </pivotArea>
    </chartFormat>
    <chartFormat chart="0" format="199" series="1">
      <pivotArea type="data" outline="0" fieldPosition="0">
        <references count="2">
          <reference field="4294967294" count="1" selected="0">
            <x v="0"/>
          </reference>
          <reference field="1" count="1" selected="0">
            <x v="20"/>
          </reference>
        </references>
      </pivotArea>
    </chartFormat>
    <chartFormat chart="0" format="200">
      <pivotArea type="data" outline="0" fieldPosition="0">
        <references count="3">
          <reference field="4294967294" count="1" selected="0">
            <x v="0"/>
          </reference>
          <reference field="0" count="1" selected="0">
            <x v="4"/>
          </reference>
          <reference field="1" count="1" selected="0">
            <x v="20"/>
          </reference>
        </references>
      </pivotArea>
    </chartFormat>
    <chartFormat chart="0" format="201" series="1">
      <pivotArea type="data" outline="0" fieldPosition="0">
        <references count="2">
          <reference field="4294967294" count="1" selected="0">
            <x v="0"/>
          </reference>
          <reference field="1" count="1" selected="0">
            <x v="5"/>
          </reference>
        </references>
      </pivotArea>
    </chartFormat>
    <chartFormat chart="0" format="202" series="1">
      <pivotArea type="data" outline="0" fieldPosition="0">
        <references count="2">
          <reference field="4294967294" count="1" selected="0">
            <x v="0"/>
          </reference>
          <reference field="1" count="1" selected="0">
            <x v="7"/>
          </reference>
        </references>
      </pivotArea>
    </chartFormat>
    <chartFormat chart="0" format="203">
      <pivotArea type="data" outline="0" fieldPosition="0">
        <references count="3">
          <reference field="4294967294" count="1" selected="0">
            <x v="0"/>
          </reference>
          <reference field="0" count="1" selected="0">
            <x v="4"/>
          </reference>
          <reference field="1" count="1" selected="0">
            <x v="7"/>
          </reference>
        </references>
      </pivotArea>
    </chartFormat>
    <chartFormat chart="0" format="204" series="1">
      <pivotArea type="data" outline="0" fieldPosition="0">
        <references count="2">
          <reference field="4294967294" count="1" selected="0">
            <x v="0"/>
          </reference>
          <reference field="1" count="1" selected="0">
            <x v="26"/>
          </reference>
        </references>
      </pivotArea>
    </chartFormat>
    <chartFormat chart="0" format="205">
      <pivotArea type="data" outline="0" fieldPosition="0">
        <references count="3">
          <reference field="4294967294" count="1" selected="0">
            <x v="0"/>
          </reference>
          <reference field="0" count="1" selected="0">
            <x v="0"/>
          </reference>
          <reference field="1" count="1" selected="0">
            <x v="26"/>
          </reference>
        </references>
      </pivotArea>
    </chartFormat>
    <chartFormat chart="0" format="206" series="1">
      <pivotArea type="data" outline="0" fieldPosition="0">
        <references count="2">
          <reference field="4294967294" count="1" selected="0">
            <x v="0"/>
          </reference>
          <reference field="1" count="1" selected="0">
            <x v="19"/>
          </reference>
        </references>
      </pivotArea>
    </chartFormat>
    <chartFormat chart="0" format="207">
      <pivotArea type="data" outline="0" fieldPosition="0">
        <references count="3">
          <reference field="4294967294" count="1" selected="0">
            <x v="0"/>
          </reference>
          <reference field="0" count="1" selected="0">
            <x v="4"/>
          </reference>
          <reference field="1" count="1" selected="0">
            <x v="19"/>
          </reference>
        </references>
      </pivotArea>
    </chartFormat>
    <chartFormat chart="0" format="208" series="1">
      <pivotArea type="data" outline="0" fieldPosition="0">
        <references count="2">
          <reference field="4294967294" count="1" selected="0">
            <x v="0"/>
          </reference>
          <reference field="1" count="1" selected="0">
            <x v="2"/>
          </reference>
        </references>
      </pivotArea>
    </chartFormat>
    <chartFormat chart="0" format="209" series="1">
      <pivotArea type="data" outline="0" fieldPosition="0">
        <references count="2">
          <reference field="4294967294" count="1" selected="0">
            <x v="0"/>
          </reference>
          <reference field="1" count="1" selected="0">
            <x v="9"/>
          </reference>
        </references>
      </pivotArea>
    </chartFormat>
    <chartFormat chart="0" format="210">
      <pivotArea type="data" outline="0" fieldPosition="0">
        <references count="3">
          <reference field="4294967294" count="1" selected="0">
            <x v="0"/>
          </reference>
          <reference field="0" count="1" selected="0">
            <x v="4"/>
          </reference>
          <reference field="1" count="1" selected="0">
            <x v="9"/>
          </reference>
        </references>
      </pivotArea>
    </chartFormat>
    <chartFormat chart="0" format="211" series="1">
      <pivotArea type="data" outline="0" fieldPosition="0">
        <references count="2">
          <reference field="4294967294" count="1" selected="0">
            <x v="0"/>
          </reference>
          <reference field="1" count="1" selected="0">
            <x v="12"/>
          </reference>
        </references>
      </pivotArea>
    </chartFormat>
    <chartFormat chart="11" format="212" series="1">
      <pivotArea type="data" outline="0" fieldPosition="0">
        <references count="2">
          <reference field="4294967294" count="1" selected="0">
            <x v="0"/>
          </reference>
          <reference field="1" count="1" selected="0">
            <x v="1"/>
          </reference>
        </references>
      </pivotArea>
    </chartFormat>
    <chartFormat chart="11" format="213" series="1">
      <pivotArea type="data" outline="0" fieldPosition="0">
        <references count="2">
          <reference field="4294967294" count="1" selected="0">
            <x v="0"/>
          </reference>
          <reference field="1" count="1" selected="0">
            <x v="10"/>
          </reference>
        </references>
      </pivotArea>
    </chartFormat>
    <chartFormat chart="11" format="214" series="1">
      <pivotArea type="data" outline="0" fieldPosition="0">
        <references count="2">
          <reference field="4294967294" count="1" selected="0">
            <x v="0"/>
          </reference>
          <reference field="1" count="1" selected="0">
            <x v="16"/>
          </reference>
        </references>
      </pivotArea>
    </chartFormat>
    <chartFormat chart="11" format="215" series="1">
      <pivotArea type="data" outline="0" fieldPosition="0">
        <references count="2">
          <reference field="4294967294" count="1" selected="0">
            <x v="0"/>
          </reference>
          <reference field="1" count="1" selected="0">
            <x v="14"/>
          </reference>
        </references>
      </pivotArea>
    </chartFormat>
    <chartFormat chart="11" format="216" series="1">
      <pivotArea type="data" outline="0" fieldPosition="0">
        <references count="2">
          <reference field="4294967294" count="1" selected="0">
            <x v="0"/>
          </reference>
          <reference field="1" count="1" selected="0">
            <x v="0"/>
          </reference>
        </references>
      </pivotArea>
    </chartFormat>
    <chartFormat chart="11" format="217" series="1">
      <pivotArea type="data" outline="0" fieldPosition="0">
        <references count="2">
          <reference field="4294967294" count="1" selected="0">
            <x v="0"/>
          </reference>
          <reference field="1" count="1" selected="0">
            <x v="11"/>
          </reference>
        </references>
      </pivotArea>
    </chartFormat>
    <chartFormat chart="11" format="218" series="1">
      <pivotArea type="data" outline="0" fieldPosition="0">
        <references count="2">
          <reference field="4294967294" count="1" selected="0">
            <x v="0"/>
          </reference>
          <reference field="1" count="1" selected="0">
            <x v="21"/>
          </reference>
        </references>
      </pivotArea>
    </chartFormat>
    <chartFormat chart="11" format="219" series="1">
      <pivotArea type="data" outline="0" fieldPosition="0">
        <references count="2">
          <reference field="4294967294" count="1" selected="0">
            <x v="0"/>
          </reference>
          <reference field="1" count="1" selected="0">
            <x v="25"/>
          </reference>
        </references>
      </pivotArea>
    </chartFormat>
    <chartFormat chart="11" format="220" series="1">
      <pivotArea type="data" outline="0" fieldPosition="0">
        <references count="2">
          <reference field="4294967294" count="1" selected="0">
            <x v="0"/>
          </reference>
          <reference field="1" count="1" selected="0">
            <x v="6"/>
          </reference>
        </references>
      </pivotArea>
    </chartFormat>
    <chartFormat chart="11" format="221">
      <pivotArea type="data" outline="0" fieldPosition="0">
        <references count="3">
          <reference field="4294967294" count="1" selected="0">
            <x v="0"/>
          </reference>
          <reference field="0" count="1" selected="0">
            <x v="4"/>
          </reference>
          <reference field="1" count="1" selected="0">
            <x v="6"/>
          </reference>
        </references>
      </pivotArea>
    </chartFormat>
    <chartFormat chart="11" format="222" series="1">
      <pivotArea type="data" outline="0" fieldPosition="0">
        <references count="2">
          <reference field="4294967294" count="1" selected="0">
            <x v="0"/>
          </reference>
          <reference field="1" count="1" selected="0">
            <x v="3"/>
          </reference>
        </references>
      </pivotArea>
    </chartFormat>
    <chartFormat chart="11" format="223" series="1">
      <pivotArea type="data" outline="0" fieldPosition="0">
        <references count="2">
          <reference field="4294967294" count="1" selected="0">
            <x v="0"/>
          </reference>
          <reference field="1" count="1" selected="0">
            <x v="4"/>
          </reference>
        </references>
      </pivotArea>
    </chartFormat>
    <chartFormat chart="11" format="224">
      <pivotArea type="data" outline="0" fieldPosition="0">
        <references count="3">
          <reference field="4294967294" count="1" selected="0">
            <x v="0"/>
          </reference>
          <reference field="0" count="1" selected="0">
            <x v="7"/>
          </reference>
          <reference field="1" count="1" selected="0">
            <x v="4"/>
          </reference>
        </references>
      </pivotArea>
    </chartFormat>
    <chartFormat chart="11" format="225" series="1">
      <pivotArea type="data" outline="0" fieldPosition="0">
        <references count="2">
          <reference field="4294967294" count="1" selected="0">
            <x v="0"/>
          </reference>
          <reference field="1" count="1" selected="0">
            <x v="18"/>
          </reference>
        </references>
      </pivotArea>
    </chartFormat>
    <chartFormat chart="11" format="226">
      <pivotArea type="data" outline="0" fieldPosition="0">
        <references count="3">
          <reference field="4294967294" count="1" selected="0">
            <x v="0"/>
          </reference>
          <reference field="0" count="1" selected="0">
            <x v="4"/>
          </reference>
          <reference field="1" count="1" selected="0">
            <x v="18"/>
          </reference>
        </references>
      </pivotArea>
    </chartFormat>
    <chartFormat chart="11" format="227" series="1">
      <pivotArea type="data" outline="0" fieldPosition="0">
        <references count="2">
          <reference field="4294967294" count="1" selected="0">
            <x v="0"/>
          </reference>
          <reference field="1" count="1" selected="0">
            <x v="27"/>
          </reference>
        </references>
      </pivotArea>
    </chartFormat>
    <chartFormat chart="11" format="228" series="1">
      <pivotArea type="data" outline="0" fieldPosition="0">
        <references count="2">
          <reference field="4294967294" count="1" selected="0">
            <x v="0"/>
          </reference>
          <reference field="1" count="1" selected="0">
            <x v="24"/>
          </reference>
        </references>
      </pivotArea>
    </chartFormat>
    <chartFormat chart="11" format="229" series="1">
      <pivotArea type="data" outline="0" fieldPosition="0">
        <references count="2">
          <reference field="4294967294" count="1" selected="0">
            <x v="0"/>
          </reference>
          <reference field="1" count="1" selected="0">
            <x v="22"/>
          </reference>
        </references>
      </pivotArea>
    </chartFormat>
    <chartFormat chart="11" format="230">
      <pivotArea type="data" outline="0" fieldPosition="0">
        <references count="3">
          <reference field="4294967294" count="1" selected="0">
            <x v="0"/>
          </reference>
          <reference field="0" count="1" selected="0">
            <x v="4"/>
          </reference>
          <reference field="1" count="1" selected="0">
            <x v="22"/>
          </reference>
        </references>
      </pivotArea>
    </chartFormat>
    <chartFormat chart="11" format="231" series="1">
      <pivotArea type="data" outline="0" fieldPosition="0">
        <references count="2">
          <reference field="4294967294" count="1" selected="0">
            <x v="0"/>
          </reference>
          <reference field="1" count="1" selected="0">
            <x v="8"/>
          </reference>
        </references>
      </pivotArea>
    </chartFormat>
    <chartFormat chart="11" format="232" series="1">
      <pivotArea type="data" outline="0" fieldPosition="0">
        <references count="2">
          <reference field="4294967294" count="1" selected="0">
            <x v="0"/>
          </reference>
          <reference field="1" count="1" selected="0">
            <x v="17"/>
          </reference>
        </references>
      </pivotArea>
    </chartFormat>
    <chartFormat chart="11" format="233">
      <pivotArea type="data" outline="0" fieldPosition="0">
        <references count="3">
          <reference field="4294967294" count="1" selected="0">
            <x v="0"/>
          </reference>
          <reference field="0" count="1" selected="0">
            <x v="4"/>
          </reference>
          <reference field="1" count="1" selected="0">
            <x v="17"/>
          </reference>
        </references>
      </pivotArea>
    </chartFormat>
    <chartFormat chart="11" format="234" series="1">
      <pivotArea type="data" outline="0" fieldPosition="0">
        <references count="2">
          <reference field="4294967294" count="1" selected="0">
            <x v="0"/>
          </reference>
          <reference field="1" count="1" selected="0">
            <x v="13"/>
          </reference>
        </references>
      </pivotArea>
    </chartFormat>
    <chartFormat chart="11" format="235">
      <pivotArea type="data" outline="0" fieldPosition="0">
        <references count="3">
          <reference field="4294967294" count="1" selected="0">
            <x v="0"/>
          </reference>
          <reference field="0" count="1" selected="0">
            <x v="4"/>
          </reference>
          <reference field="1" count="1" selected="0">
            <x v="13"/>
          </reference>
        </references>
      </pivotArea>
    </chartFormat>
    <chartFormat chart="11" format="236" series="1">
      <pivotArea type="data" outline="0" fieldPosition="0">
        <references count="2">
          <reference field="4294967294" count="1" selected="0">
            <x v="0"/>
          </reference>
          <reference field="1" count="1" selected="0">
            <x v="23"/>
          </reference>
        </references>
      </pivotArea>
    </chartFormat>
    <chartFormat chart="11" format="237">
      <pivotArea type="data" outline="0" fieldPosition="0">
        <references count="3">
          <reference field="4294967294" count="1" selected="0">
            <x v="0"/>
          </reference>
          <reference field="0" count="1" selected="0">
            <x v="0"/>
          </reference>
          <reference field="1" count="1" selected="0">
            <x v="23"/>
          </reference>
        </references>
      </pivotArea>
    </chartFormat>
    <chartFormat chart="11" format="238" series="1">
      <pivotArea type="data" outline="0" fieldPosition="0">
        <references count="2">
          <reference field="4294967294" count="1" selected="0">
            <x v="0"/>
          </reference>
          <reference field="1" count="1" selected="0">
            <x v="15"/>
          </reference>
        </references>
      </pivotArea>
    </chartFormat>
    <chartFormat chart="11" format="239" series="1">
      <pivotArea type="data" outline="0" fieldPosition="0">
        <references count="2">
          <reference field="4294967294" count="1" selected="0">
            <x v="0"/>
          </reference>
          <reference field="1" count="1" selected="0">
            <x v="20"/>
          </reference>
        </references>
      </pivotArea>
    </chartFormat>
    <chartFormat chart="11" format="240">
      <pivotArea type="data" outline="0" fieldPosition="0">
        <references count="3">
          <reference field="4294967294" count="1" selected="0">
            <x v="0"/>
          </reference>
          <reference field="0" count="1" selected="0">
            <x v="4"/>
          </reference>
          <reference field="1" count="1" selected="0">
            <x v="20"/>
          </reference>
        </references>
      </pivotArea>
    </chartFormat>
    <chartFormat chart="11" format="241" series="1">
      <pivotArea type="data" outline="0" fieldPosition="0">
        <references count="2">
          <reference field="4294967294" count="1" selected="0">
            <x v="0"/>
          </reference>
          <reference field="1" count="1" selected="0">
            <x v="5"/>
          </reference>
        </references>
      </pivotArea>
    </chartFormat>
    <chartFormat chart="11" format="242" series="1">
      <pivotArea type="data" outline="0" fieldPosition="0">
        <references count="2">
          <reference field="4294967294" count="1" selected="0">
            <x v="0"/>
          </reference>
          <reference field="1" count="1" selected="0">
            <x v="7"/>
          </reference>
        </references>
      </pivotArea>
    </chartFormat>
    <chartFormat chart="11" format="243">
      <pivotArea type="data" outline="0" fieldPosition="0">
        <references count="3">
          <reference field="4294967294" count="1" selected="0">
            <x v="0"/>
          </reference>
          <reference field="0" count="1" selected="0">
            <x v="4"/>
          </reference>
          <reference field="1" count="1" selected="0">
            <x v="7"/>
          </reference>
        </references>
      </pivotArea>
    </chartFormat>
    <chartFormat chart="11" format="244" series="1">
      <pivotArea type="data" outline="0" fieldPosition="0">
        <references count="2">
          <reference field="4294967294" count="1" selected="0">
            <x v="0"/>
          </reference>
          <reference field="1" count="1" selected="0">
            <x v="26"/>
          </reference>
        </references>
      </pivotArea>
    </chartFormat>
    <chartFormat chart="11" format="245">
      <pivotArea type="data" outline="0" fieldPosition="0">
        <references count="3">
          <reference field="4294967294" count="1" selected="0">
            <x v="0"/>
          </reference>
          <reference field="0" count="1" selected="0">
            <x v="0"/>
          </reference>
          <reference field="1" count="1" selected="0">
            <x v="26"/>
          </reference>
        </references>
      </pivotArea>
    </chartFormat>
    <chartFormat chart="11" format="246" series="1">
      <pivotArea type="data" outline="0" fieldPosition="0">
        <references count="2">
          <reference field="4294967294" count="1" selected="0">
            <x v="0"/>
          </reference>
          <reference field="1" count="1" selected="0">
            <x v="19"/>
          </reference>
        </references>
      </pivotArea>
    </chartFormat>
    <chartFormat chart="11" format="247">
      <pivotArea type="data" outline="0" fieldPosition="0">
        <references count="3">
          <reference field="4294967294" count="1" selected="0">
            <x v="0"/>
          </reference>
          <reference field="0" count="1" selected="0">
            <x v="4"/>
          </reference>
          <reference field="1" count="1" selected="0">
            <x v="19"/>
          </reference>
        </references>
      </pivotArea>
    </chartFormat>
    <chartFormat chart="11" format="248" series="1">
      <pivotArea type="data" outline="0" fieldPosition="0">
        <references count="2">
          <reference field="4294967294" count="1" selected="0">
            <x v="0"/>
          </reference>
          <reference field="1" count="1" selected="0">
            <x v="2"/>
          </reference>
        </references>
      </pivotArea>
    </chartFormat>
    <chartFormat chart="11" format="249" series="1">
      <pivotArea type="data" outline="0" fieldPosition="0">
        <references count="2">
          <reference field="4294967294" count="1" selected="0">
            <x v="0"/>
          </reference>
          <reference field="1" count="1" selected="0">
            <x v="9"/>
          </reference>
        </references>
      </pivotArea>
    </chartFormat>
    <chartFormat chart="11" format="250">
      <pivotArea type="data" outline="0" fieldPosition="0">
        <references count="3">
          <reference field="4294967294" count="1" selected="0">
            <x v="0"/>
          </reference>
          <reference field="0" count="1" selected="0">
            <x v="4"/>
          </reference>
          <reference field="1" count="1" selected="0">
            <x v="9"/>
          </reference>
        </references>
      </pivotArea>
    </chartFormat>
    <chartFormat chart="11" format="251" series="1">
      <pivotArea type="data" outline="0" fieldPosition="0">
        <references count="2">
          <reference field="4294967294" count="1" selected="0">
            <x v="0"/>
          </reference>
          <reference field="1"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Z1" dT="2025-04-04T20:37:48.60" personId="{26066CA6-B1F2-4A86-932D-1202785B5EB9}" id="{E4A07680-3A01-495D-9CFC-7305CD16681F}">
    <text>Productivity?</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43386C3-25B3-4B7B-BFA6-FFB025B84671}">
  <we:reference id="db18cc72-1a17-45df-b60e-7ffb655e8af5" version="1.0.0.4" store="EXCatalog" storeType="EXCatalog"/>
  <we:alternateReferences>
    <we:reference id="WA104381701" version="1.0.0.4" store="en-US"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3.xml"/><Relationship Id="rId4" Type="http://schemas.microsoft.com/office/2017/10/relationships/threadedComment" Target="../threadedComments/threadedComment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BA7EC-62B2-4F83-B645-1ACF6EC2CB29}">
  <dimension ref="A1:B26"/>
  <sheetViews>
    <sheetView showGridLines="0" tabSelected="1" workbookViewId="0">
      <selection activeCell="E6" sqref="E6"/>
    </sheetView>
  </sheetViews>
  <sheetFormatPr defaultRowHeight="14.4" x14ac:dyDescent="0.3"/>
  <cols>
    <col min="1" max="1" width="16.88671875" bestFit="1" customWidth="1"/>
    <col min="2" max="2" width="89.88671875" bestFit="1" customWidth="1"/>
  </cols>
  <sheetData>
    <row r="1" spans="1:2" x14ac:dyDescent="0.3">
      <c r="A1" s="170" t="s">
        <v>0</v>
      </c>
      <c r="B1" s="170"/>
    </row>
    <row r="2" spans="1:2" x14ac:dyDescent="0.3">
      <c r="A2" s="31" t="s">
        <v>1</v>
      </c>
      <c r="B2" s="157" t="s">
        <v>2</v>
      </c>
    </row>
    <row r="3" spans="1:2" x14ac:dyDescent="0.3">
      <c r="A3" s="31" t="s">
        <v>3</v>
      </c>
      <c r="B3" s="157" t="s">
        <v>4</v>
      </c>
    </row>
    <row r="4" spans="1:2" x14ac:dyDescent="0.3">
      <c r="A4" s="31" t="s">
        <v>5</v>
      </c>
      <c r="B4" s="157" t="s">
        <v>6</v>
      </c>
    </row>
    <row r="5" spans="1:2" x14ac:dyDescent="0.3">
      <c r="A5" s="31" t="s">
        <v>7</v>
      </c>
      <c r="B5" s="157" t="s">
        <v>8</v>
      </c>
    </row>
    <row r="6" spans="1:2" x14ac:dyDescent="0.3">
      <c r="A6" s="31" t="s">
        <v>9</v>
      </c>
      <c r="B6" s="157" t="s">
        <v>10</v>
      </c>
    </row>
    <row r="7" spans="1:2" x14ac:dyDescent="0.3">
      <c r="A7" s="31" t="s">
        <v>11</v>
      </c>
      <c r="B7" s="157" t="s">
        <v>12</v>
      </c>
    </row>
    <row r="8" spans="1:2" x14ac:dyDescent="0.3">
      <c r="A8" s="31" t="s">
        <v>13</v>
      </c>
      <c r="B8" s="157" t="s">
        <v>14</v>
      </c>
    </row>
    <row r="9" spans="1:2" x14ac:dyDescent="0.3">
      <c r="A9" s="31" t="s">
        <v>15</v>
      </c>
      <c r="B9" s="157" t="s">
        <v>16</v>
      </c>
    </row>
    <row r="10" spans="1:2" x14ac:dyDescent="0.3">
      <c r="A10" s="31" t="s">
        <v>17</v>
      </c>
      <c r="B10" s="157" t="s">
        <v>18</v>
      </c>
    </row>
    <row r="11" spans="1:2" x14ac:dyDescent="0.3">
      <c r="A11" s="31" t="s">
        <v>19</v>
      </c>
      <c r="B11" s="157" t="s">
        <v>18</v>
      </c>
    </row>
    <row r="12" spans="1:2" x14ac:dyDescent="0.3">
      <c r="A12" s="31" t="s">
        <v>20</v>
      </c>
      <c r="B12" s="157" t="s">
        <v>21</v>
      </c>
    </row>
    <row r="13" spans="1:2" x14ac:dyDescent="0.3">
      <c r="A13" s="31" t="s">
        <v>22</v>
      </c>
      <c r="B13" s="157" t="s">
        <v>23</v>
      </c>
    </row>
    <row r="14" spans="1:2" x14ac:dyDescent="0.3">
      <c r="A14" s="31" t="s">
        <v>24</v>
      </c>
      <c r="B14" s="157" t="s">
        <v>25</v>
      </c>
    </row>
    <row r="15" spans="1:2" x14ac:dyDescent="0.3">
      <c r="A15" s="31" t="s">
        <v>26</v>
      </c>
      <c r="B15" s="157" t="s">
        <v>27</v>
      </c>
    </row>
    <row r="16" spans="1:2" x14ac:dyDescent="0.3">
      <c r="A16" s="31" t="s">
        <v>28</v>
      </c>
      <c r="B16" s="157" t="s">
        <v>29</v>
      </c>
    </row>
    <row r="17" spans="1:2" x14ac:dyDescent="0.3">
      <c r="A17" s="31" t="s">
        <v>30</v>
      </c>
      <c r="B17" s="157" t="s">
        <v>29</v>
      </c>
    </row>
    <row r="18" spans="1:2" x14ac:dyDescent="0.3">
      <c r="A18" s="31" t="s">
        <v>31</v>
      </c>
      <c r="B18" s="157" t="s">
        <v>32</v>
      </c>
    </row>
    <row r="19" spans="1:2" x14ac:dyDescent="0.3">
      <c r="A19" s="31" t="s">
        <v>33</v>
      </c>
      <c r="B19" s="157" t="s">
        <v>34</v>
      </c>
    </row>
    <row r="20" spans="1:2" x14ac:dyDescent="0.3">
      <c r="A20" s="31" t="s">
        <v>35</v>
      </c>
      <c r="B20" s="157" t="s">
        <v>36</v>
      </c>
    </row>
    <row r="21" spans="1:2" x14ac:dyDescent="0.3">
      <c r="A21" s="31" t="s">
        <v>37</v>
      </c>
      <c r="B21" s="157" t="s">
        <v>38</v>
      </c>
    </row>
    <row r="22" spans="1:2" x14ac:dyDescent="0.3">
      <c r="A22" s="31" t="s">
        <v>39</v>
      </c>
      <c r="B22" s="157" t="s">
        <v>40</v>
      </c>
    </row>
    <row r="23" spans="1:2" x14ac:dyDescent="0.3">
      <c r="A23" s="31" t="s">
        <v>41</v>
      </c>
      <c r="B23" s="157" t="s">
        <v>42</v>
      </c>
    </row>
    <row r="24" spans="1:2" x14ac:dyDescent="0.3">
      <c r="A24" s="31" t="s">
        <v>43</v>
      </c>
      <c r="B24" s="157" t="s">
        <v>44</v>
      </c>
    </row>
    <row r="25" spans="1:2" x14ac:dyDescent="0.3">
      <c r="A25" s="31" t="s">
        <v>45</v>
      </c>
      <c r="B25" s="157" t="s">
        <v>46</v>
      </c>
    </row>
    <row r="26" spans="1:2" x14ac:dyDescent="0.3">
      <c r="A26" s="31" t="s">
        <v>47</v>
      </c>
      <c r="B26" s="157" t="s">
        <v>48</v>
      </c>
    </row>
  </sheetData>
  <mergeCells count="1">
    <mergeCell ref="A1:B1"/>
  </mergeCells>
  <hyperlinks>
    <hyperlink ref="B3" location="'Figure B1. a)'!D101" display="LHRs in LAC and Other Regions, 2017–25 (February) (Year-to-Year Changes)" xr:uid="{8DD7E5E3-4354-408E-94A0-4B6AA6486647}"/>
    <hyperlink ref="B4" location="'Figure B1. b)'!A1" display="Average LHR by Region in 2017 and 2024–25 (Year-to-Year Changes)" xr:uid="{14C7A66C-48CF-46C7-8A68-A9137262E3E8}"/>
    <hyperlink ref="B5" location="'Figure 2'!I20" display="Figure 2 Change in Annualized Growth Rate of Job Creation, LAC vs. Peer Countries, 2016 vs. 2024 (p.p.)" xr:uid="{9300D9FE-66DC-4CBB-9AAC-7F6E0B966C16}"/>
    <hyperlink ref="B6" location="'Figure 3'!A1" display="Working-Age Population and Total Employment in LAC by Education Level, 2016–24 Annualized Growth (%) " xr:uid="{C3A11A33-2521-4F30-9368-BFB8DA13F14B}"/>
    <hyperlink ref="B7" location="'Figure 4'!E16" display="Numbers of Jobs Created in LAC by Category, 2016–24" xr:uid="{47FFB9F2-BF69-462C-A688-312ED244206B}"/>
    <hyperlink ref="B8" location="'Figure 5'!A1" display="Employment, LFP, and Unemployment Rates in the LAC Region, 2016–24" xr:uid="{E4392F90-7D75-4860-8623-1CE1726A02AE}"/>
    <hyperlink ref="B9" location="'Figure 6'!A1" display="Employment Rates and Job Growth in LAC by Gender, Age, and Skill Level, 2016-24" xr:uid="{3FB66465-9126-4EDB-AD1B-2A1AE4749F14}"/>
    <hyperlink ref="B10" location="'Figure 7'!A1" display="Employment Rate Changes in LAC Countries and LAC vs. Other Regions, 2016 vs. 2024 (p.p.)" xr:uid="{9D23CA5A-8C40-4F19-87BB-EC8BEBB2C370}"/>
    <hyperlink ref="B11" location="'Figure 8'!C20" display="Employment Rate Changes in LAC Countries and LAC vs. Other Regions, 2016 vs. 2024 (p.p.)" xr:uid="{58E69E82-5095-4D55-9FFB-75F28F2AE1F3}"/>
    <hyperlink ref="B12" location="'Figure 9'!C27" display="Earnings Levels and Growth by Socioeconomic Group in LAC, 2016–24" xr:uid="{4CC9C2B7-C6E8-439F-AD6B-DA6DE1A1E42E}"/>
    <hyperlink ref="B13" location="'Figure 10'!A1" display="Labor Income by LAC Country Relative to Region Median, 2024" xr:uid="{94012D07-D1BC-4B59-AD15-6151BAA61CF7}"/>
    <hyperlink ref="B14" location="'Figure 11 a) and b)'!A28" display="Figure 11 Labor and Productivity Growth, 2016–24 (USD 2017 PPP)" xr:uid="{9085A84C-9D79-417B-801C-E801B8E417CF}"/>
    <hyperlink ref="B15" location="'Figure 12'!A3" display="Decomposition of Labor Income Changes in LAC Countries with High Earnings Growth (2016–24)" xr:uid="{56E958C0-13A6-42CA-87D7-3EAFEBEE3D6D}"/>
    <hyperlink ref="B16" location="'Figure 13 a)'!I2" display="Changes in Employment vs. Relative Productivity by Sector, 2016−24" xr:uid="{7F1BB25B-EE45-48DD-B76B-B2736349E2FE}"/>
    <hyperlink ref="B17" location="'Figure 13 b)'!I2" display="Changes in Employment vs. Relative Productivity by Sector, 2016−24" xr:uid="{D58079DF-1AA9-4142-A220-862DEC8A14BB}"/>
    <hyperlink ref="B18" location="'Annex 01'!A2" display="Changes in the Job Quality Index for Selected LAC Countries, 2016 vs. 2023 (p.p.)" xr:uid="{27270398-83DF-4C05-855F-582B4E14C118}"/>
    <hyperlink ref="B19" location="'Annex 02'!A21" display=" Wage Inequality (Gini Coefficient), 2024 vs. 2016 " xr:uid="{73F1A6E8-1134-4ABF-AD20-BB37F82767A8}"/>
    <hyperlink ref="A24" location="'Table A5'!A1" display="Table A5. LABLAC coverage and comparability." xr:uid="{A2B93D09-1D2C-4E9C-962A-51C15DBAD9EC}"/>
    <hyperlink ref="B20" location="'Table A1'!A1" display=" Employment growth (annualized) by country, sector, gender, and skill, 2016-2024" xr:uid="{A5B0E5CC-D903-4C6E-890D-2F9D63DEE5A0}"/>
    <hyperlink ref="B21" location="'Table A2'!A1" display=" Earnings growth (annualized) by country, sector, gender, and skill, 2016-2024" xr:uid="{96DEAF45-F50A-4B20-B141-50E2EE716E82}"/>
    <hyperlink ref="B22" location="'Table A3'!A1" display=" Job creation rate (annualized) by country, sector, and skill level, Men 2016-2024" xr:uid="{B1849AC4-2FA8-42F1-BE11-BDBE616E8C94}"/>
    <hyperlink ref="B23" location="'Table A4'!A1" display=" Job creation rate (annualized) by country, sector, and skill level, Women 2016-2024" xr:uid="{76E765A7-B318-452F-A8D7-F81109A4C98B}"/>
    <hyperlink ref="B24" location="'Table A5'!A1" display=" LABLAC coverage and comparability" xr:uid="{62EC0A17-B5FE-4600-97A2-08B5A22EE12F}"/>
    <hyperlink ref="B25" location="'Table A6b'!A1" display=" Exceptions to Standard Time Periods: Cases Using Approximate Years" xr:uid="{C6F9EECD-44F2-4F83-8002-62F158FFF89E}"/>
    <hyperlink ref="B26" location="'Table A7'!A1" display="Definitions" xr:uid="{15AF3733-5FDE-428A-BEF4-4C0221169848}"/>
    <hyperlink ref="B2" location="'Figure 1'!A1" display="GDP, Job Creation, and Labor Earnings (Year-to-Year Growth) in Latin America and Caribbean, 2017–24 (Q2)" xr:uid="{39D1E616-5163-4912-8051-EB22546B5077}"/>
  </hyperlinks>
  <pageMargins left="0.7" right="0.7" top="0.75" bottom="0.75" header="0.3" footer="0.3"/>
  <headerFooter>
    <oddFooter>&amp;R_x000D_&amp;1#&amp;"Calibri"&amp;10&amp;K000000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6A2B8-BFAB-41F4-8720-6200B3C958DA}">
  <dimension ref="A1:U56"/>
  <sheetViews>
    <sheetView showGridLines="0" zoomScale="70" zoomScaleNormal="70" workbookViewId="0">
      <pane xSplit="1" ySplit="3" topLeftCell="B35" activePane="bottomRight" state="frozen"/>
      <selection pane="topRight" activeCell="P12" sqref="P12"/>
      <selection pane="bottomLeft" activeCell="P12" sqref="P12"/>
      <selection pane="bottomRight" activeCell="H50" sqref="H50"/>
    </sheetView>
  </sheetViews>
  <sheetFormatPr defaultRowHeight="14.4" x14ac:dyDescent="0.3"/>
  <cols>
    <col min="1" max="5" width="17.109375" customWidth="1"/>
    <col min="6" max="6" width="17.109375" hidden="1" customWidth="1"/>
    <col min="7" max="8" width="17.109375" customWidth="1"/>
    <col min="9" max="9" width="9.109375" bestFit="1" customWidth="1"/>
    <col min="10" max="10" width="17.5546875" bestFit="1" customWidth="1"/>
    <col min="24" max="24" width="17.5546875" bestFit="1" customWidth="1"/>
  </cols>
  <sheetData>
    <row r="1" spans="1:21" x14ac:dyDescent="0.3">
      <c r="A1" s="141"/>
    </row>
    <row r="2" spans="1:21" x14ac:dyDescent="0.3">
      <c r="A2" s="142" t="s">
        <v>0</v>
      </c>
      <c r="D2" s="5"/>
      <c r="E2" s="5"/>
      <c r="F2" s="171"/>
      <c r="G2" s="171"/>
      <c r="H2" s="171"/>
    </row>
    <row r="3" spans="1:21" ht="28.8" x14ac:dyDescent="0.3">
      <c r="A3" s="143" t="s">
        <v>49</v>
      </c>
      <c r="B3" s="144" t="s">
        <v>50</v>
      </c>
      <c r="C3" s="144" t="s">
        <v>51</v>
      </c>
      <c r="D3" s="145" t="s">
        <v>52</v>
      </c>
      <c r="E3" s="145" t="s">
        <v>53</v>
      </c>
      <c r="F3" s="146" t="s">
        <v>54</v>
      </c>
      <c r="G3" s="146" t="s">
        <v>55</v>
      </c>
      <c r="H3" s="146" t="s">
        <v>56</v>
      </c>
      <c r="J3" s="142" t="s">
        <v>0</v>
      </c>
    </row>
    <row r="4" spans="1:21" hidden="1" x14ac:dyDescent="0.3">
      <c r="A4" s="40"/>
      <c r="B4" s="44"/>
      <c r="C4" s="44"/>
      <c r="D4" s="143"/>
      <c r="E4" s="143"/>
      <c r="F4" s="143"/>
      <c r="G4" s="143"/>
      <c r="H4" s="143"/>
    </row>
    <row r="5" spans="1:21" hidden="1" x14ac:dyDescent="0.3">
      <c r="A5" s="40"/>
      <c r="B5" s="44"/>
      <c r="C5" s="44"/>
      <c r="D5" s="143"/>
      <c r="E5" s="143"/>
      <c r="F5" s="143"/>
      <c r="G5" s="143"/>
      <c r="H5" s="143"/>
    </row>
    <row r="6" spans="1:21" ht="18" hidden="1" x14ac:dyDescent="0.35">
      <c r="A6" s="43"/>
      <c r="B6" s="44"/>
      <c r="C6" s="44"/>
      <c r="D6" s="31"/>
      <c r="E6" s="31"/>
      <c r="F6" s="31"/>
      <c r="G6" s="31"/>
      <c r="H6" s="31"/>
      <c r="I6" s="172" t="s">
        <v>57</v>
      </c>
      <c r="J6" s="172"/>
      <c r="K6" s="172"/>
      <c r="L6" s="172"/>
      <c r="M6" s="172"/>
      <c r="N6" s="172"/>
      <c r="O6" s="172"/>
      <c r="P6" s="172"/>
      <c r="Q6" s="172"/>
      <c r="R6" s="172"/>
      <c r="S6" s="172"/>
      <c r="T6" s="172"/>
      <c r="U6" s="172"/>
    </row>
    <row r="7" spans="1:21" hidden="1" x14ac:dyDescent="0.3">
      <c r="A7" s="43"/>
      <c r="B7" s="44"/>
      <c r="C7" s="44"/>
      <c r="D7" s="31"/>
      <c r="E7" s="31"/>
      <c r="F7" s="31"/>
      <c r="G7" s="31"/>
      <c r="H7" s="31"/>
    </row>
    <row r="8" spans="1:21" hidden="1" x14ac:dyDescent="0.3">
      <c r="A8" s="43"/>
      <c r="B8" s="44"/>
      <c r="C8" s="44"/>
      <c r="D8" s="31"/>
      <c r="E8" s="31"/>
      <c r="F8" s="31"/>
      <c r="G8" s="31"/>
      <c r="H8" s="31"/>
    </row>
    <row r="9" spans="1:21" hidden="1" x14ac:dyDescent="0.3">
      <c r="A9" s="43"/>
      <c r="B9" s="44"/>
      <c r="C9" s="44"/>
      <c r="D9" s="31"/>
      <c r="E9" s="31"/>
      <c r="F9" s="31"/>
      <c r="G9" s="31"/>
      <c r="H9" s="31"/>
    </row>
    <row r="10" spans="1:21" hidden="1" x14ac:dyDescent="0.3">
      <c r="A10" s="43"/>
      <c r="B10" s="44"/>
      <c r="C10" s="44"/>
      <c r="D10" s="31"/>
      <c r="E10" s="31"/>
      <c r="F10" s="31"/>
      <c r="G10" s="31"/>
      <c r="H10" s="31"/>
    </row>
    <row r="11" spans="1:21" hidden="1" x14ac:dyDescent="0.3">
      <c r="A11" s="43"/>
      <c r="B11" s="44"/>
      <c r="C11" s="44"/>
      <c r="D11" s="31"/>
      <c r="E11" s="31"/>
      <c r="F11" s="31"/>
      <c r="G11" s="31"/>
      <c r="H11" s="31"/>
    </row>
    <row r="12" spans="1:21" hidden="1" x14ac:dyDescent="0.3">
      <c r="A12" s="43"/>
      <c r="B12" s="44"/>
      <c r="C12" s="44"/>
      <c r="D12" s="45"/>
      <c r="E12" s="45"/>
      <c r="F12" s="45"/>
      <c r="G12" s="45"/>
      <c r="H12" s="45"/>
    </row>
    <row r="13" spans="1:21" hidden="1" x14ac:dyDescent="0.3">
      <c r="A13" s="43"/>
      <c r="B13" s="44"/>
      <c r="C13" s="44"/>
      <c r="D13" s="45"/>
      <c r="E13" s="45"/>
      <c r="F13" s="45"/>
      <c r="G13" s="45"/>
      <c r="H13" s="45"/>
    </row>
    <row r="14" spans="1:21" hidden="1" x14ac:dyDescent="0.3">
      <c r="A14" s="43"/>
      <c r="B14" s="44"/>
      <c r="C14" s="44"/>
      <c r="D14" s="45"/>
      <c r="E14" s="45"/>
      <c r="F14" s="45"/>
      <c r="G14" s="45"/>
      <c r="H14" s="45"/>
    </row>
    <row r="15" spans="1:21" hidden="1" x14ac:dyDescent="0.3">
      <c r="A15" s="43"/>
      <c r="B15" s="44"/>
      <c r="C15" s="44"/>
      <c r="D15" s="45"/>
      <c r="E15" s="45"/>
      <c r="F15" s="45"/>
      <c r="G15" s="45"/>
      <c r="H15" s="45"/>
    </row>
    <row r="16" spans="1:21" hidden="1" x14ac:dyDescent="0.3">
      <c r="A16" s="43"/>
      <c r="B16" s="44"/>
      <c r="C16" s="44"/>
      <c r="D16" s="45"/>
      <c r="E16" s="45"/>
      <c r="F16" s="45"/>
      <c r="G16" s="45"/>
      <c r="H16" s="45"/>
    </row>
    <row r="17" spans="1:10" hidden="1" x14ac:dyDescent="0.3">
      <c r="A17" s="43"/>
      <c r="B17" s="44"/>
      <c r="C17" s="44"/>
      <c r="D17" s="45"/>
      <c r="E17" s="45"/>
      <c r="F17" s="45"/>
      <c r="G17" s="45"/>
      <c r="H17" s="45"/>
    </row>
    <row r="18" spans="1:10" hidden="1" x14ac:dyDescent="0.3">
      <c r="A18" s="43"/>
      <c r="B18" s="44"/>
      <c r="C18" s="44"/>
      <c r="D18" s="45"/>
      <c r="E18" s="45"/>
      <c r="F18" s="45"/>
      <c r="G18" s="45"/>
      <c r="H18" s="45"/>
    </row>
    <row r="19" spans="1:10" hidden="1" x14ac:dyDescent="0.3">
      <c r="A19" s="43"/>
      <c r="B19" s="44"/>
      <c r="C19" s="44"/>
      <c r="D19" s="45">
        <v>-0.671627982769607</v>
      </c>
      <c r="E19" s="45"/>
      <c r="F19" s="45"/>
      <c r="G19" s="45"/>
      <c r="H19" s="45"/>
    </row>
    <row r="20" spans="1:10" x14ac:dyDescent="0.3">
      <c r="A20" s="43" t="s">
        <v>58</v>
      </c>
      <c r="B20" s="147">
        <v>2.7</v>
      </c>
      <c r="C20" s="44"/>
      <c r="D20" s="44">
        <v>1.5371793605556405E-3</v>
      </c>
      <c r="E20" s="45"/>
      <c r="F20" s="148">
        <v>0.40583345842908347</v>
      </c>
      <c r="G20" s="45"/>
      <c r="H20" s="44">
        <v>-1.07001395176749</v>
      </c>
    </row>
    <row r="21" spans="1:10" x14ac:dyDescent="0.3">
      <c r="A21" s="43" t="s">
        <v>59</v>
      </c>
      <c r="B21" s="147">
        <v>1.9</v>
      </c>
      <c r="C21" s="44"/>
      <c r="D21" s="44">
        <v>0.61435792329800343</v>
      </c>
      <c r="E21" s="45"/>
      <c r="F21" s="148">
        <v>1.2771617723223327</v>
      </c>
      <c r="G21" s="45"/>
      <c r="H21" s="44">
        <v>-0.29187096931531098</v>
      </c>
      <c r="J21" s="22" t="s">
        <v>60</v>
      </c>
    </row>
    <row r="22" spans="1:10" x14ac:dyDescent="0.3">
      <c r="A22" s="43" t="s">
        <v>61</v>
      </c>
      <c r="B22" s="147">
        <v>2.5</v>
      </c>
      <c r="C22" s="44"/>
      <c r="D22" s="44">
        <v>1.5491840401305357</v>
      </c>
      <c r="E22" s="45"/>
      <c r="F22" s="148">
        <v>2.5634409135545377</v>
      </c>
      <c r="G22" s="45"/>
      <c r="H22" s="44">
        <v>0.87738814187097169</v>
      </c>
    </row>
    <row r="23" spans="1:10" x14ac:dyDescent="0.3">
      <c r="A23" s="43" t="s">
        <v>62</v>
      </c>
      <c r="B23" s="147">
        <v>2.8</v>
      </c>
      <c r="C23" s="44"/>
      <c r="D23" s="44">
        <v>1.894091246451568</v>
      </c>
      <c r="E23" s="45"/>
      <c r="F23" s="148">
        <v>2.7031778625955738</v>
      </c>
      <c r="G23" s="45"/>
      <c r="H23" s="44">
        <v>1.4294771064725209</v>
      </c>
    </row>
    <row r="24" spans="1:10" x14ac:dyDescent="0.3">
      <c r="A24" s="43" t="s">
        <v>63</v>
      </c>
      <c r="B24" s="147">
        <v>3.2</v>
      </c>
      <c r="C24" s="44"/>
      <c r="D24" s="44">
        <v>2.0596220009560406</v>
      </c>
      <c r="E24" s="45"/>
      <c r="F24" s="148">
        <v>1.8115835223465826</v>
      </c>
      <c r="G24" s="45"/>
      <c r="H24" s="44">
        <v>1.8772483701663178</v>
      </c>
    </row>
    <row r="25" spans="1:10" x14ac:dyDescent="0.3">
      <c r="A25" s="43" t="s">
        <v>64</v>
      </c>
      <c r="B25" s="147">
        <v>4.0999999999999996</v>
      </c>
      <c r="C25" s="44"/>
      <c r="D25" s="44">
        <v>2.0681610125449224</v>
      </c>
      <c r="E25" s="45"/>
      <c r="F25" s="148">
        <v>1.9578788010280235</v>
      </c>
      <c r="G25" s="45"/>
      <c r="H25" s="44">
        <v>1.7533639523699351</v>
      </c>
    </row>
    <row r="26" spans="1:10" x14ac:dyDescent="0.3">
      <c r="A26" s="43" t="s">
        <v>65</v>
      </c>
      <c r="B26" s="147">
        <v>2.7</v>
      </c>
      <c r="C26" s="44"/>
      <c r="D26" s="44">
        <v>2.1540237706595633</v>
      </c>
      <c r="E26" s="45"/>
      <c r="F26" s="148">
        <v>1.3124827997339938</v>
      </c>
      <c r="G26" s="45"/>
      <c r="H26" s="44">
        <v>0.9422064712367284</v>
      </c>
    </row>
    <row r="27" spans="1:10" x14ac:dyDescent="0.3">
      <c r="A27" s="43" t="s">
        <v>66</v>
      </c>
      <c r="B27" s="147">
        <v>1.4</v>
      </c>
      <c r="C27" s="44"/>
      <c r="D27" s="44">
        <v>1.6873394106737383</v>
      </c>
      <c r="E27" s="45"/>
      <c r="F27" s="148">
        <v>0.22740801024814239</v>
      </c>
      <c r="G27" s="45"/>
      <c r="H27" s="44">
        <v>-0.34974273470376183</v>
      </c>
    </row>
    <row r="28" spans="1:10" x14ac:dyDescent="0.3">
      <c r="A28" s="43" t="s">
        <v>67</v>
      </c>
      <c r="B28" s="147">
        <v>0.1</v>
      </c>
      <c r="C28" s="44"/>
      <c r="D28" s="44">
        <v>2.1220732029516798</v>
      </c>
      <c r="E28" s="45"/>
      <c r="F28" s="148">
        <v>0.77596659040841676</v>
      </c>
      <c r="G28" s="45"/>
      <c r="H28" s="44">
        <v>0.42431073223478943</v>
      </c>
    </row>
    <row r="29" spans="1:10" x14ac:dyDescent="0.3">
      <c r="A29" s="43" t="s">
        <v>68</v>
      </c>
      <c r="B29" s="147">
        <v>-0.1</v>
      </c>
      <c r="C29" s="44"/>
      <c r="D29" s="44">
        <v>2.2315932656530535</v>
      </c>
      <c r="E29" s="45"/>
      <c r="F29" s="148">
        <v>0.59270848793377962</v>
      </c>
      <c r="G29" s="45"/>
      <c r="H29" s="44">
        <v>0.82717516551200632</v>
      </c>
    </row>
    <row r="30" spans="1:10" x14ac:dyDescent="0.3">
      <c r="A30" s="43" t="s">
        <v>69</v>
      </c>
      <c r="B30" s="147">
        <v>1.2</v>
      </c>
      <c r="C30" s="44"/>
      <c r="D30" s="44">
        <v>1.6564516483001723</v>
      </c>
      <c r="E30" s="45"/>
      <c r="F30" s="148">
        <v>0.52304469929209674</v>
      </c>
      <c r="G30" s="45"/>
      <c r="H30" s="44">
        <v>1.1928214350668931</v>
      </c>
    </row>
    <row r="31" spans="1:10" x14ac:dyDescent="0.3">
      <c r="A31" s="43" t="s">
        <v>70</v>
      </c>
      <c r="B31" s="147">
        <v>0.6</v>
      </c>
      <c r="C31" s="44"/>
      <c r="D31" s="44">
        <v>2.1321479176183544</v>
      </c>
      <c r="E31" s="45"/>
      <c r="F31" s="148">
        <v>1.2931966107496917</v>
      </c>
      <c r="G31" s="45"/>
      <c r="H31" s="44">
        <v>2.1925174536566061</v>
      </c>
    </row>
    <row r="32" spans="1:10" x14ac:dyDescent="0.3">
      <c r="A32" s="43" t="s">
        <v>71</v>
      </c>
      <c r="B32" s="147">
        <v>0.1</v>
      </c>
      <c r="C32" s="44"/>
      <c r="D32" s="44">
        <v>1.042745442148707</v>
      </c>
      <c r="E32" s="45"/>
      <c r="F32" s="148">
        <v>6.4342877725387382E-2</v>
      </c>
      <c r="G32" s="45"/>
      <c r="H32" s="44">
        <v>1.3306322233745504</v>
      </c>
    </row>
    <row r="33" spans="1:21" x14ac:dyDescent="0.3">
      <c r="A33" s="43" t="s">
        <v>72</v>
      </c>
      <c r="B33" s="147">
        <v>-14.5</v>
      </c>
      <c r="C33" s="44"/>
      <c r="D33" s="44">
        <v>-12.493208957829594</v>
      </c>
      <c r="E33" s="45"/>
      <c r="F33" s="148">
        <v>-12.051869702497232</v>
      </c>
      <c r="G33" s="45"/>
      <c r="H33" s="44">
        <v>-8.974494088326967</v>
      </c>
    </row>
    <row r="34" spans="1:21" x14ac:dyDescent="0.3">
      <c r="A34" s="43" t="s">
        <v>73</v>
      </c>
      <c r="B34" s="147">
        <v>-5.2</v>
      </c>
      <c r="C34" s="44"/>
      <c r="D34" s="44">
        <v>-11.804666952339637</v>
      </c>
      <c r="E34" s="45"/>
      <c r="F34" s="148">
        <v>-12.184112193578954</v>
      </c>
      <c r="G34" s="45"/>
      <c r="H34" s="44">
        <v>-10.180912561104394</v>
      </c>
    </row>
    <row r="35" spans="1:21" x14ac:dyDescent="0.3">
      <c r="A35" s="43" t="s">
        <v>74</v>
      </c>
      <c r="B35" s="147">
        <v>-1.4</v>
      </c>
      <c r="C35" s="44"/>
      <c r="D35" s="44">
        <v>-7.7124109575147042</v>
      </c>
      <c r="E35" s="45"/>
      <c r="F35" s="148">
        <v>-9.0392953193696108</v>
      </c>
      <c r="G35" s="45"/>
      <c r="H35" s="44">
        <v>-8.5806338245498441</v>
      </c>
    </row>
    <row r="36" spans="1:21" x14ac:dyDescent="0.3">
      <c r="A36" s="43" t="s">
        <v>75</v>
      </c>
      <c r="B36" s="147">
        <v>4</v>
      </c>
      <c r="C36" s="44"/>
      <c r="D36" s="44">
        <v>-5.5129168530817951</v>
      </c>
      <c r="E36" s="45"/>
      <c r="F36" s="148">
        <v>-6.6969657117559533</v>
      </c>
      <c r="G36" s="45"/>
      <c r="H36" s="44">
        <v>-7.3795663294930485</v>
      </c>
      <c r="I36" s="173"/>
      <c r="J36" s="174"/>
      <c r="K36" s="174"/>
      <c r="L36" s="174"/>
      <c r="M36" s="174"/>
      <c r="N36" s="174"/>
      <c r="O36" s="174"/>
      <c r="P36" s="174"/>
      <c r="Q36" s="174"/>
      <c r="R36" s="174"/>
      <c r="S36" s="174"/>
      <c r="T36" s="174"/>
      <c r="U36" s="174"/>
    </row>
    <row r="37" spans="1:21" x14ac:dyDescent="0.3">
      <c r="A37" s="43" t="s">
        <v>76</v>
      </c>
      <c r="B37" s="147">
        <v>21.3</v>
      </c>
      <c r="C37" s="44"/>
      <c r="D37" s="44">
        <v>10.389228539083618</v>
      </c>
      <c r="E37" s="45"/>
      <c r="F37" s="148">
        <v>5.9122863388700875</v>
      </c>
      <c r="G37" s="45"/>
      <c r="H37" s="44">
        <v>2.7992977089301929</v>
      </c>
      <c r="I37" s="174"/>
      <c r="J37" s="174"/>
      <c r="K37" s="174"/>
      <c r="L37" s="174"/>
      <c r="M37" s="174"/>
      <c r="N37" s="174"/>
      <c r="O37" s="174"/>
      <c r="P37" s="174"/>
      <c r="Q37" s="174"/>
      <c r="R37" s="174"/>
      <c r="S37" s="174"/>
      <c r="T37" s="174"/>
      <c r="U37" s="174"/>
    </row>
    <row r="38" spans="1:21" x14ac:dyDescent="0.3">
      <c r="A38" s="43" t="s">
        <v>77</v>
      </c>
      <c r="B38" s="147">
        <v>9</v>
      </c>
      <c r="C38" s="44"/>
      <c r="D38" s="44">
        <v>12.311059679609858</v>
      </c>
      <c r="E38" s="45"/>
      <c r="F38" s="148">
        <v>7.0604712109348933</v>
      </c>
      <c r="G38" s="45"/>
      <c r="H38" s="44">
        <v>4.6635512916059163</v>
      </c>
      <c r="I38" s="174"/>
      <c r="J38" s="174"/>
      <c r="K38" s="174"/>
      <c r="L38" s="174"/>
      <c r="M38" s="174"/>
      <c r="N38" s="174"/>
      <c r="O38" s="174"/>
      <c r="P38" s="174"/>
      <c r="Q38" s="174"/>
      <c r="R38" s="174"/>
      <c r="S38" s="174"/>
      <c r="T38" s="174"/>
      <c r="U38" s="174"/>
    </row>
    <row r="39" spans="1:21" x14ac:dyDescent="0.3">
      <c r="A39" s="43" t="s">
        <v>78</v>
      </c>
      <c r="B39" s="147">
        <v>5.3</v>
      </c>
      <c r="C39" s="44"/>
      <c r="D39" s="44">
        <v>8.8084705536078509</v>
      </c>
      <c r="E39" s="45"/>
      <c r="F39" s="148">
        <v>2.9820210961677196</v>
      </c>
      <c r="G39" s="45"/>
      <c r="H39" s="44">
        <v>1.5881558393189499</v>
      </c>
      <c r="I39" s="174"/>
      <c r="J39" s="174"/>
      <c r="K39" s="174"/>
      <c r="L39" s="174"/>
      <c r="M39" s="174"/>
      <c r="N39" s="174"/>
      <c r="O39" s="174"/>
      <c r="P39" s="174"/>
      <c r="Q39" s="174"/>
      <c r="R39" s="174"/>
      <c r="S39" s="174"/>
      <c r="T39" s="174"/>
      <c r="U39" s="174"/>
    </row>
    <row r="40" spans="1:21" x14ac:dyDescent="0.3">
      <c r="A40" s="43" t="s">
        <v>79</v>
      </c>
      <c r="B40" s="147">
        <v>2.4</v>
      </c>
      <c r="C40" s="44"/>
      <c r="D40" s="44">
        <v>7.9060111230692565</v>
      </c>
      <c r="E40" s="45"/>
      <c r="F40" s="148">
        <v>3.0431940744024999</v>
      </c>
      <c r="G40" s="45"/>
      <c r="H40" s="44">
        <v>2.0602876853637708</v>
      </c>
      <c r="I40" s="174"/>
      <c r="J40" s="174"/>
      <c r="K40" s="174"/>
      <c r="L40" s="174"/>
      <c r="M40" s="174"/>
      <c r="N40" s="174"/>
      <c r="O40" s="174"/>
      <c r="P40" s="174"/>
      <c r="Q40" s="174"/>
      <c r="R40" s="174"/>
      <c r="S40" s="174"/>
      <c r="T40" s="174"/>
      <c r="U40" s="174"/>
    </row>
    <row r="41" spans="1:21" x14ac:dyDescent="0.3">
      <c r="A41" s="43" t="s">
        <v>80</v>
      </c>
      <c r="B41" s="147">
        <v>4.2</v>
      </c>
      <c r="C41" s="44"/>
      <c r="D41" s="44">
        <v>8.0421150692948409</v>
      </c>
      <c r="E41" s="45"/>
      <c r="F41" s="148">
        <v>5.6847099497221221</v>
      </c>
      <c r="G41" s="45"/>
      <c r="H41" s="44">
        <v>4.368264381836906</v>
      </c>
      <c r="I41" s="174"/>
      <c r="J41" s="174"/>
      <c r="K41" s="174"/>
      <c r="L41" s="174"/>
      <c r="M41" s="174"/>
      <c r="N41" s="174"/>
      <c r="O41" s="174"/>
      <c r="P41" s="174"/>
      <c r="Q41" s="174"/>
      <c r="R41" s="174"/>
      <c r="S41" s="174"/>
      <c r="T41" s="174"/>
      <c r="U41" s="174"/>
    </row>
    <row r="42" spans="1:21" x14ac:dyDescent="0.3">
      <c r="A42" s="43" t="s">
        <v>81</v>
      </c>
      <c r="B42" s="147">
        <v>4.4000000000000004</v>
      </c>
      <c r="C42" s="44"/>
      <c r="D42" s="44">
        <v>5.4736367964302035</v>
      </c>
      <c r="E42" s="45"/>
      <c r="F42" s="148">
        <v>6.1071917000893317</v>
      </c>
      <c r="G42" s="45"/>
      <c r="H42" s="44">
        <v>5.5508608975095797</v>
      </c>
      <c r="I42" s="174"/>
      <c r="J42" s="174"/>
      <c r="K42" s="174"/>
      <c r="L42" s="174"/>
      <c r="M42" s="174"/>
      <c r="N42" s="174"/>
      <c r="O42" s="174"/>
      <c r="P42" s="174"/>
      <c r="Q42" s="174"/>
      <c r="R42" s="174"/>
      <c r="S42" s="174"/>
      <c r="T42" s="174"/>
      <c r="U42" s="174"/>
    </row>
    <row r="43" spans="1:21" x14ac:dyDescent="0.3">
      <c r="A43" s="43" t="s">
        <v>82</v>
      </c>
      <c r="B43" s="147">
        <v>3</v>
      </c>
      <c r="C43" s="44"/>
      <c r="D43" s="44">
        <v>3.6831036565091901</v>
      </c>
      <c r="E43" s="45"/>
      <c r="F43" s="148">
        <v>4.0045194018871744</v>
      </c>
      <c r="G43" s="45"/>
      <c r="H43" s="44">
        <v>7.241311502005976</v>
      </c>
      <c r="I43" s="174"/>
      <c r="J43" s="174"/>
      <c r="K43" s="174"/>
      <c r="L43" s="174"/>
      <c r="M43" s="174"/>
      <c r="N43" s="174"/>
      <c r="O43" s="174"/>
      <c r="P43" s="174"/>
      <c r="Q43" s="174"/>
      <c r="R43" s="174"/>
      <c r="S43" s="174"/>
      <c r="T43" s="174"/>
      <c r="U43" s="174"/>
    </row>
    <row r="44" spans="1:21" x14ac:dyDescent="0.3">
      <c r="A44" s="43" t="s">
        <v>83</v>
      </c>
      <c r="B44" s="147">
        <v>2.2000000000000002</v>
      </c>
      <c r="C44" s="44"/>
      <c r="D44" s="44">
        <v>3.3528076970678944</v>
      </c>
      <c r="E44" s="45"/>
      <c r="F44" s="148">
        <v>3.7930507663681334</v>
      </c>
      <c r="G44" s="45"/>
      <c r="H44" s="44">
        <v>6.4379490841062648</v>
      </c>
      <c r="I44" s="174"/>
      <c r="J44" s="174"/>
      <c r="K44" s="174"/>
      <c r="L44" s="174"/>
      <c r="M44" s="174"/>
      <c r="N44" s="174"/>
      <c r="O44" s="174"/>
      <c r="P44" s="174"/>
      <c r="Q44" s="174"/>
      <c r="R44" s="174"/>
      <c r="S44" s="174"/>
      <c r="T44" s="174"/>
      <c r="U44" s="174"/>
    </row>
    <row r="45" spans="1:21" x14ac:dyDescent="0.3">
      <c r="A45" s="43" t="s">
        <v>84</v>
      </c>
      <c r="B45" s="147">
        <v>-0.7</v>
      </c>
      <c r="C45" s="44"/>
      <c r="D45" s="44">
        <v>1.4305314737287578</v>
      </c>
      <c r="E45" s="45"/>
      <c r="F45" s="148">
        <v>4.1551982208477556</v>
      </c>
      <c r="G45" s="45"/>
      <c r="H45" s="44">
        <v>4.4961555101652895</v>
      </c>
    </row>
    <row r="46" spans="1:21" x14ac:dyDescent="0.3">
      <c r="A46" s="43" t="s">
        <v>85</v>
      </c>
      <c r="B46" s="147">
        <v>1.4</v>
      </c>
      <c r="C46" s="44"/>
      <c r="D46" s="44">
        <v>1.9728792849608823</v>
      </c>
      <c r="E46" s="45"/>
      <c r="F46" s="148">
        <v>4.31058049963291</v>
      </c>
      <c r="G46" s="45"/>
      <c r="H46" s="44">
        <v>4.6148990876234475</v>
      </c>
    </row>
    <row r="47" spans="1:21" x14ac:dyDescent="0.3">
      <c r="A47" s="43" t="s">
        <v>86</v>
      </c>
      <c r="B47" s="147">
        <v>3.1</v>
      </c>
      <c r="C47" s="44"/>
      <c r="D47" s="44">
        <v>1.9856608917741214</v>
      </c>
      <c r="E47" s="45"/>
      <c r="F47" s="148">
        <v>3.2617431515177042</v>
      </c>
      <c r="G47" s="45"/>
      <c r="H47" s="44">
        <v>3.9021959498888092</v>
      </c>
    </row>
    <row r="48" spans="1:21" x14ac:dyDescent="0.3">
      <c r="A48" s="43" t="s">
        <v>87</v>
      </c>
      <c r="B48" s="147">
        <v>0.4</v>
      </c>
      <c r="C48" s="44"/>
      <c r="D48" s="44">
        <v>1.8785709931769867</v>
      </c>
      <c r="E48" s="45"/>
      <c r="F48" s="148"/>
      <c r="G48" s="45"/>
      <c r="H48" s="44">
        <v>3.2921056542213112</v>
      </c>
    </row>
    <row r="49" spans="1:9" x14ac:dyDescent="0.3">
      <c r="A49" s="43" t="s">
        <v>88</v>
      </c>
      <c r="B49" s="147">
        <v>3.5</v>
      </c>
      <c r="C49" s="44"/>
      <c r="D49" s="44">
        <v>2.2368031192451898</v>
      </c>
      <c r="E49" s="45"/>
      <c r="F49" s="148"/>
      <c r="G49" s="45"/>
      <c r="H49" s="44">
        <v>5.8275727668146704</v>
      </c>
    </row>
    <row r="50" spans="1:9" x14ac:dyDescent="0.3">
      <c r="A50" s="43"/>
      <c r="B50" s="147">
        <v>2.1</v>
      </c>
      <c r="C50" s="44"/>
      <c r="D50" s="149">
        <v>2.8045624351705323</v>
      </c>
      <c r="E50" s="31"/>
      <c r="F50" s="31"/>
      <c r="G50" s="31"/>
      <c r="H50" s="149">
        <v>4.6047574020385174</v>
      </c>
    </row>
    <row r="51" spans="1:9" x14ac:dyDescent="0.3">
      <c r="A51" s="43">
        <v>2024</v>
      </c>
      <c r="B51" s="147">
        <v>1.8</v>
      </c>
      <c r="C51" s="150">
        <v>2.1</v>
      </c>
      <c r="D51" s="149">
        <v>1.373846112985766</v>
      </c>
      <c r="E51" s="31"/>
      <c r="F51" s="31"/>
      <c r="G51" s="31"/>
      <c r="H51" s="149">
        <v>1.0445604307899536</v>
      </c>
      <c r="I51" s="141"/>
    </row>
    <row r="52" spans="1:9" x14ac:dyDescent="0.3">
      <c r="A52" s="43"/>
      <c r="B52" s="44"/>
      <c r="C52" s="44"/>
      <c r="D52" s="31"/>
      <c r="E52" s="31"/>
      <c r="F52" s="31"/>
      <c r="G52" s="31"/>
      <c r="H52" s="31"/>
      <c r="I52" s="141"/>
    </row>
    <row r="53" spans="1:9" x14ac:dyDescent="0.3">
      <c r="A53" s="43">
        <v>2025</v>
      </c>
      <c r="B53" s="151"/>
      <c r="C53" s="152">
        <v>1.9</v>
      </c>
      <c r="D53" s="44"/>
      <c r="E53" s="153">
        <v>1.6088708721106681</v>
      </c>
      <c r="F53" s="44"/>
      <c r="G53" s="154">
        <v>1.5074835541780129</v>
      </c>
      <c r="H53" s="154"/>
    </row>
    <row r="54" spans="1:9" x14ac:dyDescent="0.3">
      <c r="A54" s="6"/>
      <c r="B54" s="42"/>
      <c r="C54" s="42"/>
      <c r="F54" s="155"/>
      <c r="H54" s="155"/>
    </row>
    <row r="55" spans="1:9" x14ac:dyDescent="0.3">
      <c r="D55" s="156"/>
      <c r="E55" s="156"/>
      <c r="F55" s="156"/>
      <c r="G55" s="156"/>
    </row>
    <row r="56" spans="1:9" x14ac:dyDescent="0.3">
      <c r="D56" s="156"/>
      <c r="E56" s="156"/>
      <c r="F56" s="156"/>
      <c r="G56" s="156"/>
    </row>
  </sheetData>
  <mergeCells count="3">
    <mergeCell ref="F2:H2"/>
    <mergeCell ref="I6:U6"/>
    <mergeCell ref="I36:U44"/>
  </mergeCells>
  <hyperlinks>
    <hyperlink ref="A2" location="Index!A1" display="'Index" xr:uid="{17F47D41-F46B-4B2C-BD13-2177424BB5C4}"/>
    <hyperlink ref="J3" location="Index!A1" display="'Index" xr:uid="{870BD638-EB97-47B5-98FC-8AFDDAA33EB1}"/>
  </hyperlinks>
  <pageMargins left="0.7" right="0.7" top="0.75" bottom="0.75" header="0.3" footer="0.3"/>
  <headerFooter>
    <oddFooter>&amp;R_x000D_&amp;1#&amp;"Calibri"&amp;10&amp;K000000 Official Use Only</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83EAB-8977-4707-BBA4-245BC8967976}">
  <dimension ref="A1:Q101"/>
  <sheetViews>
    <sheetView showGridLines="0" zoomScale="57" zoomScaleNormal="100" workbookViewId="0">
      <pane ySplit="1" topLeftCell="A2" activePane="bottomLeft" state="frozen"/>
      <selection pane="bottomLeft" activeCell="N116" sqref="N116"/>
    </sheetView>
  </sheetViews>
  <sheetFormatPr defaultColWidth="9.109375" defaultRowHeight="14.4" x14ac:dyDescent="0.3"/>
  <cols>
    <col min="1" max="1" width="9.5546875" style="1" bestFit="1" customWidth="1"/>
    <col min="2" max="2" width="10" style="1" bestFit="1" customWidth="1"/>
    <col min="3" max="3" width="7.5546875" style="1" bestFit="1" customWidth="1"/>
    <col min="4" max="4" width="6.5546875" style="1" bestFit="1" customWidth="1"/>
    <col min="5" max="5" width="6.109375" style="1" bestFit="1" customWidth="1"/>
    <col min="6" max="6" width="10" style="1" bestFit="1" customWidth="1"/>
    <col min="7" max="7" width="11.109375" style="1" bestFit="1" customWidth="1"/>
    <col min="8" max="8" width="19" style="1" bestFit="1" customWidth="1"/>
    <col min="9" max="9" width="8.88671875" style="1" bestFit="1" customWidth="1"/>
    <col min="10" max="10" width="10.44140625" style="1" bestFit="1" customWidth="1"/>
    <col min="11" max="11" width="8" style="1" bestFit="1" customWidth="1"/>
    <col min="12" max="12" width="6.109375" style="1" bestFit="1" customWidth="1"/>
    <col min="13" max="13" width="8.88671875" style="1" bestFit="1" customWidth="1"/>
    <col min="14" max="14" width="10.109375" style="1" bestFit="1" customWidth="1"/>
    <col min="15" max="15" width="15.44140625" style="1" bestFit="1" customWidth="1"/>
    <col min="16" max="16" width="14.88671875" style="1" bestFit="1" customWidth="1"/>
    <col min="17" max="17" width="14.109375" style="1" bestFit="1" customWidth="1"/>
    <col min="18" max="16384" width="9.109375" style="1"/>
  </cols>
  <sheetData>
    <row r="1" spans="1:17" x14ac:dyDescent="0.3">
      <c r="A1" s="3" t="s">
        <v>89</v>
      </c>
      <c r="B1" s="3" t="s">
        <v>90</v>
      </c>
      <c r="C1" s="3" t="s">
        <v>91</v>
      </c>
      <c r="D1" s="3" t="s">
        <v>92</v>
      </c>
      <c r="E1" s="3" t="s">
        <v>93</v>
      </c>
      <c r="F1" s="3" t="s">
        <v>94</v>
      </c>
      <c r="G1" s="3" t="s">
        <v>95</v>
      </c>
      <c r="H1" s="3" t="s">
        <v>96</v>
      </c>
      <c r="I1" s="3" t="s">
        <v>97</v>
      </c>
      <c r="J1" s="3" t="s">
        <v>98</v>
      </c>
      <c r="K1" s="3" t="s">
        <v>99</v>
      </c>
      <c r="L1" s="3" t="s">
        <v>100</v>
      </c>
      <c r="M1" s="3" t="s">
        <v>101</v>
      </c>
      <c r="N1" s="3" t="s">
        <v>102</v>
      </c>
      <c r="O1" s="3" t="s">
        <v>103</v>
      </c>
      <c r="P1" s="3" t="s">
        <v>104</v>
      </c>
      <c r="Q1" s="3" t="s">
        <v>105</v>
      </c>
    </row>
    <row r="2" spans="1:17" x14ac:dyDescent="0.3">
      <c r="A2" s="176">
        <v>2017</v>
      </c>
      <c r="B2" s="4">
        <v>-3.7999999999999999E-2</v>
      </c>
      <c r="C2" s="4">
        <v>-7.6100000000000001E-2</v>
      </c>
      <c r="D2" s="4">
        <v>7.3099999999999998E-2</v>
      </c>
      <c r="E2" s="4">
        <v>-1.41E-2</v>
      </c>
      <c r="F2" s="4">
        <v>-5.6300000000000003E-2</v>
      </c>
      <c r="G2" s="4">
        <v>-0.1163</v>
      </c>
      <c r="H2" s="4">
        <v>4.7300000000000002E-2</v>
      </c>
      <c r="I2" s="4">
        <v>8.6499999999999994E-2</v>
      </c>
      <c r="J2" s="4">
        <v>0.16250000000000001</v>
      </c>
      <c r="K2" s="4">
        <v>-8.6E-3</v>
      </c>
      <c r="L2" s="4">
        <v>4.6899999999999997E-2</v>
      </c>
      <c r="M2" s="4">
        <v>6.5699999999999995E-2</v>
      </c>
      <c r="N2" s="4">
        <v>4.0000000000000002E-4</v>
      </c>
      <c r="O2" s="4">
        <v>3.11666666666667E-2</v>
      </c>
      <c r="P2" s="4">
        <v>2.4999999999999702E-4</v>
      </c>
      <c r="Q2" s="4">
        <v>4.5333333333333302E-3</v>
      </c>
    </row>
    <row r="3" spans="1:17" x14ac:dyDescent="0.3">
      <c r="A3" s="177"/>
      <c r="B3" s="4">
        <v>-9.5299999999999996E-2</v>
      </c>
      <c r="C3" s="4">
        <v>-0.255</v>
      </c>
      <c r="D3" s="4">
        <v>4.0000000000000002E-4</v>
      </c>
      <c r="E3" s="4">
        <v>-4.6699999999999998E-2</v>
      </c>
      <c r="F3" s="4">
        <v>-9.6500000000000002E-2</v>
      </c>
      <c r="G3" s="4">
        <v>-0.15959999999999999</v>
      </c>
      <c r="H3" s="4">
        <v>0.1003</v>
      </c>
      <c r="I3" s="4">
        <v>-0.1542</v>
      </c>
      <c r="J3" s="4">
        <v>0.23469999999999999</v>
      </c>
      <c r="K3" s="4">
        <v>-7.0999999999999994E-2</v>
      </c>
      <c r="L3" s="4">
        <v>1.5900000000000001E-2</v>
      </c>
      <c r="M3" s="4">
        <v>-7.1000000000000004E-3</v>
      </c>
      <c r="N3" s="4">
        <v>-3.1300000000000001E-2</v>
      </c>
      <c r="O3" s="4">
        <v>5.8466666666666701E-2</v>
      </c>
      <c r="P3" s="4">
        <v>-0.12245</v>
      </c>
      <c r="Q3" s="4">
        <v>-4.9700000000000001E-2</v>
      </c>
    </row>
    <row r="4" spans="1:17" x14ac:dyDescent="0.3">
      <c r="A4" s="177"/>
      <c r="B4" s="4">
        <v>4.8099999999999997E-2</v>
      </c>
      <c r="C4" s="4">
        <v>-8.2299999999999998E-2</v>
      </c>
      <c r="D4" s="4">
        <v>5.7299999999999997E-2</v>
      </c>
      <c r="E4" s="4">
        <v>2.8899999999999999E-2</v>
      </c>
      <c r="F4" s="4">
        <v>0.13769999999999999</v>
      </c>
      <c r="G4" s="4">
        <v>0.1147</v>
      </c>
      <c r="H4" s="4">
        <v>0.2145</v>
      </c>
      <c r="I4" s="4">
        <v>5.0799999999999998E-2</v>
      </c>
      <c r="J4" s="4">
        <v>0.14360000000000001</v>
      </c>
      <c r="K4" s="4">
        <v>9.9699999999999997E-2</v>
      </c>
      <c r="L4" s="4">
        <v>0.124</v>
      </c>
      <c r="M4" s="4">
        <v>9.2399999999999996E-2</v>
      </c>
      <c r="N4" s="4">
        <v>0.13039999999999999</v>
      </c>
      <c r="O4" s="4">
        <v>0.15759999999999999</v>
      </c>
      <c r="P4" s="4">
        <v>5.7549999999999997E-2</v>
      </c>
      <c r="Q4" s="4">
        <v>5.64666666666667E-2</v>
      </c>
    </row>
    <row r="5" spans="1:17" x14ac:dyDescent="0.3">
      <c r="A5" s="177"/>
      <c r="B5" s="4">
        <v>-3.9199999999999999E-2</v>
      </c>
      <c r="C5" s="4">
        <v>-5.7500000000000002E-2</v>
      </c>
      <c r="D5" s="4">
        <v>7.5999999999999998E-2</v>
      </c>
      <c r="E5" s="4">
        <v>-3.5099999999999999E-2</v>
      </c>
      <c r="F5" s="4">
        <v>-0.12640000000000001</v>
      </c>
      <c r="G5" s="4">
        <v>0.29020000000000001</v>
      </c>
      <c r="H5" s="4">
        <v>5.6399999999999999E-2</v>
      </c>
      <c r="I5" s="4">
        <v>1.77E-2</v>
      </c>
      <c r="J5" s="4">
        <v>-0.24099999999999999</v>
      </c>
      <c r="K5" s="4">
        <v>-6.6799999999999998E-2</v>
      </c>
      <c r="L5" s="4">
        <v>4.9299999999999997E-2</v>
      </c>
      <c r="M5" s="4">
        <v>-0.13200000000000001</v>
      </c>
      <c r="N5" s="4">
        <v>-0.17979999999999999</v>
      </c>
      <c r="O5" s="4">
        <v>3.5200000000000002E-2</v>
      </c>
      <c r="P5" s="4">
        <v>-2.9225000000000001E-2</v>
      </c>
      <c r="Q5" s="4">
        <v>-6.8766666666666698E-2</v>
      </c>
    </row>
    <row r="6" spans="1:17" x14ac:dyDescent="0.3">
      <c r="A6" s="177"/>
      <c r="B6" s="4">
        <v>2.12E-2</v>
      </c>
      <c r="C6" s="4">
        <v>-1.2699999999999999E-2</v>
      </c>
      <c r="D6" s="4">
        <v>0.14050000000000001</v>
      </c>
      <c r="E6" s="4">
        <v>2.9899999999999999E-2</v>
      </c>
      <c r="F6" s="4">
        <v>3.61E-2</v>
      </c>
      <c r="G6" s="4">
        <v>0.15559999999999999</v>
      </c>
      <c r="H6" s="4">
        <v>0.2006</v>
      </c>
      <c r="I6" s="4">
        <v>0.20069999999999999</v>
      </c>
      <c r="J6" s="4">
        <v>2.0299999999999999E-2</v>
      </c>
      <c r="K6" s="4">
        <v>-6.9999999999999999E-4</v>
      </c>
      <c r="L6" s="4">
        <v>0.1004</v>
      </c>
      <c r="M6" s="4">
        <v>4.1700000000000001E-2</v>
      </c>
      <c r="N6" s="4">
        <v>-3.7100000000000001E-2</v>
      </c>
      <c r="O6" s="4">
        <v>0.1255</v>
      </c>
      <c r="P6" s="4">
        <v>8.1125000000000003E-2</v>
      </c>
      <c r="Q6" s="4">
        <v>3.0933333333333299E-2</v>
      </c>
    </row>
    <row r="7" spans="1:17" x14ac:dyDescent="0.3">
      <c r="A7" s="177"/>
      <c r="B7" s="4">
        <v>6.88E-2</v>
      </c>
      <c r="C7" s="4">
        <v>-6.0299999999999999E-2</v>
      </c>
      <c r="D7" s="4">
        <v>0.1041</v>
      </c>
      <c r="E7" s="4">
        <v>-3.8E-3</v>
      </c>
      <c r="F7" s="4">
        <v>5.4899999999999997E-2</v>
      </c>
      <c r="G7" s="4">
        <v>1.8599999999999998E-2</v>
      </c>
      <c r="H7" s="4">
        <v>-3.5200000000000002E-2</v>
      </c>
      <c r="I7" s="4">
        <v>0.38769999999999999</v>
      </c>
      <c r="J7" s="4">
        <v>-3.3700000000000001E-2</v>
      </c>
      <c r="K7" s="4">
        <v>2.12E-2</v>
      </c>
      <c r="L7" s="4">
        <v>0.13489999999999999</v>
      </c>
      <c r="M7" s="4">
        <v>-8.3799999999999999E-2</v>
      </c>
      <c r="N7" s="4">
        <v>-1.12E-2</v>
      </c>
      <c r="O7" s="4">
        <v>-1.6766666666666701E-2</v>
      </c>
      <c r="P7" s="4">
        <v>0.1293</v>
      </c>
      <c r="Q7" s="4">
        <v>-6.2666666666666704E-3</v>
      </c>
    </row>
    <row r="8" spans="1:17" x14ac:dyDescent="0.3">
      <c r="A8" s="177"/>
      <c r="B8" s="4">
        <v>0.15340000000000001</v>
      </c>
      <c r="C8" s="4">
        <v>-9.64E-2</v>
      </c>
      <c r="D8" s="4">
        <v>0.12920000000000001</v>
      </c>
      <c r="E8" s="4">
        <v>0.13850000000000001</v>
      </c>
      <c r="F8" s="4">
        <v>7.4099999999999999E-2</v>
      </c>
      <c r="G8" s="4">
        <v>0.28410000000000002</v>
      </c>
      <c r="H8" s="4">
        <v>0.1137</v>
      </c>
      <c r="I8" s="4">
        <v>0.12920000000000001</v>
      </c>
      <c r="J8" s="4">
        <v>0.17430000000000001</v>
      </c>
      <c r="K8" s="4">
        <v>0.13089999999999999</v>
      </c>
      <c r="L8" s="4">
        <v>0.18479999999999999</v>
      </c>
      <c r="M8" s="4">
        <v>-3.7199999999999997E-2</v>
      </c>
      <c r="N8" s="4">
        <v>-0.21210000000000001</v>
      </c>
      <c r="O8" s="4">
        <v>0.19070000000000001</v>
      </c>
      <c r="P8" s="4">
        <v>7.2925000000000004E-2</v>
      </c>
      <c r="Q8" s="4">
        <v>8.4900000000000003E-2</v>
      </c>
    </row>
    <row r="9" spans="1:17" x14ac:dyDescent="0.3">
      <c r="A9" s="177"/>
      <c r="B9" s="4">
        <v>4.02E-2</v>
      </c>
      <c r="C9" s="4">
        <v>-5.2499999999999998E-2</v>
      </c>
      <c r="D9" s="4">
        <v>0.27089999999999997</v>
      </c>
      <c r="E9" s="4">
        <v>9.5799999999999996E-2</v>
      </c>
      <c r="F9" s="4">
        <v>6.4699999999999994E-2</v>
      </c>
      <c r="G9" s="4">
        <v>5.5399999999999998E-2</v>
      </c>
      <c r="H9" s="4">
        <v>0.107</v>
      </c>
      <c r="I9" s="4">
        <v>0.40139999999999998</v>
      </c>
      <c r="J9" s="4">
        <v>0.1444</v>
      </c>
      <c r="K9" s="4">
        <v>8.1699999999999995E-2</v>
      </c>
      <c r="L9" s="4">
        <v>0.1265</v>
      </c>
      <c r="M9" s="4">
        <v>3.5099999999999999E-2</v>
      </c>
      <c r="N9" s="4">
        <v>-0.1666</v>
      </c>
      <c r="O9" s="4">
        <v>0.10226666666666701</v>
      </c>
      <c r="P9" s="4">
        <v>0.13502500000000001</v>
      </c>
      <c r="Q9" s="4">
        <v>5.7033333333333297E-2</v>
      </c>
    </row>
    <row r="10" spans="1:17" x14ac:dyDescent="0.3">
      <c r="A10" s="177"/>
      <c r="B10" s="4">
        <v>8.3400000000000002E-2</v>
      </c>
      <c r="C10" s="4">
        <v>-2.4E-2</v>
      </c>
      <c r="D10" s="4">
        <v>0.23630000000000001</v>
      </c>
      <c r="E10" s="4">
        <v>2.0400000000000001E-2</v>
      </c>
      <c r="F10" s="4">
        <v>-4.5999999999999999E-3</v>
      </c>
      <c r="G10" s="4">
        <v>0.1792</v>
      </c>
      <c r="H10" s="4">
        <v>0.11310000000000001</v>
      </c>
      <c r="I10" s="4">
        <v>0.12479999999999999</v>
      </c>
      <c r="J10" s="4">
        <v>4.02E-2</v>
      </c>
      <c r="K10" s="4">
        <v>2.7400000000000001E-2</v>
      </c>
      <c r="L10" s="4">
        <v>8.6699999999999999E-2</v>
      </c>
      <c r="M10" s="4">
        <v>3.1699999999999999E-2</v>
      </c>
      <c r="N10" s="4">
        <v>-0.14069999999999999</v>
      </c>
      <c r="O10" s="4">
        <v>0.11083333333333301</v>
      </c>
      <c r="P10" s="4">
        <v>4.5725000000000002E-2</v>
      </c>
      <c r="Q10" s="4">
        <v>4.5166666666666702E-2</v>
      </c>
    </row>
    <row r="11" spans="1:17" x14ac:dyDescent="0.3">
      <c r="A11" s="177"/>
      <c r="B11" s="4">
        <v>0.1111</v>
      </c>
      <c r="C11" s="4">
        <v>0.1024</v>
      </c>
      <c r="D11" s="4">
        <v>0.2419</v>
      </c>
      <c r="E11" s="4">
        <v>0.12540000000000001</v>
      </c>
      <c r="F11" s="4">
        <v>0.10580000000000001</v>
      </c>
      <c r="G11" s="4">
        <v>0.21079999999999999</v>
      </c>
      <c r="H11" s="4">
        <v>0.14549999999999999</v>
      </c>
      <c r="I11" s="4">
        <v>0.30819999999999997</v>
      </c>
      <c r="J11" s="4">
        <v>-4.8500000000000001E-2</v>
      </c>
      <c r="K11" s="4">
        <v>5.7299999999999997E-2</v>
      </c>
      <c r="L11" s="4">
        <v>0.14660000000000001</v>
      </c>
      <c r="M11" s="4">
        <v>6.0100000000000001E-2</v>
      </c>
      <c r="N11" s="4">
        <v>0.14680000000000001</v>
      </c>
      <c r="O11" s="4">
        <v>0.1026</v>
      </c>
      <c r="P11" s="4">
        <v>0.16575000000000001</v>
      </c>
      <c r="Q11" s="4">
        <v>9.88666666666667E-2</v>
      </c>
    </row>
    <row r="12" spans="1:17" x14ac:dyDescent="0.3">
      <c r="A12" s="177"/>
      <c r="B12" s="4">
        <v>8.7800000000000003E-2</v>
      </c>
      <c r="C12" s="4">
        <v>0.2092</v>
      </c>
      <c r="D12" s="4">
        <v>0.26819999999999999</v>
      </c>
      <c r="E12" s="4">
        <v>0.1666</v>
      </c>
      <c r="F12" s="4">
        <v>0.22040000000000001</v>
      </c>
      <c r="G12" s="4">
        <v>0.13250000000000001</v>
      </c>
      <c r="H12" s="4">
        <v>0.1087</v>
      </c>
      <c r="I12" s="4">
        <v>0.30070000000000002</v>
      </c>
      <c r="J12" s="4">
        <v>-1.61E-2</v>
      </c>
      <c r="K12" s="4">
        <v>3.7400000000000003E-2</v>
      </c>
      <c r="L12" s="4">
        <v>0.1605</v>
      </c>
      <c r="M12" s="4">
        <v>-6.0699999999999997E-2</v>
      </c>
      <c r="N12" s="4">
        <v>0.24049999999999999</v>
      </c>
      <c r="O12" s="4">
        <v>7.5033333333333299E-2</v>
      </c>
      <c r="P12" s="4">
        <v>0.22270000000000001</v>
      </c>
      <c r="Q12" s="4">
        <v>6.4566666666666703E-2</v>
      </c>
    </row>
    <row r="13" spans="1:17" x14ac:dyDescent="0.3">
      <c r="A13" s="178"/>
      <c r="B13" s="4">
        <v>9.2299999999999993E-2</v>
      </c>
      <c r="C13" s="4">
        <v>5.5500000000000001E-2</v>
      </c>
      <c r="D13" s="4">
        <v>0.2611</v>
      </c>
      <c r="E13" s="4">
        <v>3.73E-2</v>
      </c>
      <c r="F13" s="4">
        <v>0.13919999999999999</v>
      </c>
      <c r="G13" s="4">
        <v>0.21490000000000001</v>
      </c>
      <c r="H13" s="4">
        <v>2.6800000000000001E-2</v>
      </c>
      <c r="I13" s="4">
        <v>0.40079999999999999</v>
      </c>
      <c r="J13" s="4">
        <v>-4.9500000000000002E-2</v>
      </c>
      <c r="K13" s="4">
        <v>-5.62E-2</v>
      </c>
      <c r="L13" s="4">
        <v>0.161</v>
      </c>
      <c r="M13" s="4">
        <v>-3.6900000000000002E-2</v>
      </c>
      <c r="N13" s="4">
        <v>0.49340000000000001</v>
      </c>
      <c r="O13" s="4">
        <v>6.4066666666666702E-2</v>
      </c>
      <c r="P13" s="4">
        <v>0.18912499999999999</v>
      </c>
      <c r="Q13" s="4">
        <v>3.09E-2</v>
      </c>
    </row>
    <row r="14" spans="1:17" x14ac:dyDescent="0.3">
      <c r="A14" s="176">
        <v>2018</v>
      </c>
      <c r="B14" s="4">
        <v>0.1019</v>
      </c>
      <c r="C14" s="4">
        <v>7.7100000000000002E-2</v>
      </c>
      <c r="D14" s="4">
        <v>0.15909999999999999</v>
      </c>
      <c r="E14" s="4">
        <v>7.9399999999999998E-2</v>
      </c>
      <c r="F14" s="4">
        <v>0.2273</v>
      </c>
      <c r="G14" s="4">
        <v>0.24829999999999999</v>
      </c>
      <c r="H14" s="4">
        <v>8.8499999999999995E-2</v>
      </c>
      <c r="I14" s="4">
        <v>0.27489999999999998</v>
      </c>
      <c r="J14" s="4">
        <v>6.88E-2</v>
      </c>
      <c r="K14" s="4">
        <v>5.1499999999999997E-2</v>
      </c>
      <c r="L14" s="4">
        <v>4.7699999999999999E-2</v>
      </c>
      <c r="M14" s="4">
        <v>5.4699999999999999E-2</v>
      </c>
      <c r="N14" s="4">
        <v>0.24460000000000001</v>
      </c>
      <c r="O14" s="4">
        <v>0.13519999999999999</v>
      </c>
      <c r="P14" s="4">
        <v>0.15675</v>
      </c>
      <c r="Q14" s="4">
        <v>7.8666666666666704E-2</v>
      </c>
    </row>
    <row r="15" spans="1:17" x14ac:dyDescent="0.3">
      <c r="A15" s="177"/>
      <c r="B15" s="4">
        <v>0.14169999999999999</v>
      </c>
      <c r="C15" s="4">
        <v>0.18429999999999999</v>
      </c>
      <c r="D15" s="4">
        <v>0.2104</v>
      </c>
      <c r="E15" s="4">
        <v>0.10440000000000001</v>
      </c>
      <c r="F15" s="4">
        <v>9.4E-2</v>
      </c>
      <c r="G15" s="4">
        <v>0.27739999999999998</v>
      </c>
      <c r="H15" s="4">
        <v>2.98E-2</v>
      </c>
      <c r="I15" s="4">
        <v>0.33629999999999999</v>
      </c>
      <c r="J15" s="4">
        <v>8.5000000000000006E-3</v>
      </c>
      <c r="K15" s="4">
        <v>0.10150000000000001</v>
      </c>
      <c r="L15" s="4">
        <v>0.15060000000000001</v>
      </c>
      <c r="M15" s="4">
        <v>0.1027</v>
      </c>
      <c r="N15" s="4">
        <v>0.24399999999999999</v>
      </c>
      <c r="O15" s="4">
        <v>0.105233333333333</v>
      </c>
      <c r="P15" s="4">
        <v>0.1913</v>
      </c>
      <c r="Q15" s="4">
        <v>0.116266666666667</v>
      </c>
    </row>
    <row r="16" spans="1:17" x14ac:dyDescent="0.3">
      <c r="A16" s="177"/>
      <c r="B16" s="4">
        <v>6.4000000000000001E-2</v>
      </c>
      <c r="C16" s="4">
        <v>0.20499999999999999</v>
      </c>
      <c r="D16" s="4">
        <v>0.22850000000000001</v>
      </c>
      <c r="E16" s="4">
        <v>8.1199999999999994E-2</v>
      </c>
      <c r="F16" s="4">
        <v>2.53E-2</v>
      </c>
      <c r="G16" s="4">
        <v>-7.6799999999999993E-2</v>
      </c>
      <c r="H16" s="4">
        <v>-1.24E-2</v>
      </c>
      <c r="I16" s="4">
        <v>0.29599999999999999</v>
      </c>
      <c r="J16" s="4">
        <v>2.5000000000000001E-2</v>
      </c>
      <c r="K16" s="4">
        <v>4.1000000000000003E-3</v>
      </c>
      <c r="L16" s="4">
        <v>-9.7000000000000003E-3</v>
      </c>
      <c r="M16" s="4">
        <v>1.52E-2</v>
      </c>
      <c r="N16" s="4">
        <v>0.21870000000000001</v>
      </c>
      <c r="O16" s="4">
        <v>-2.1399999999999999E-2</v>
      </c>
      <c r="P16" s="4">
        <v>0.12914999999999999</v>
      </c>
      <c r="Q16" s="4">
        <v>5.3466666666666697E-2</v>
      </c>
    </row>
    <row r="17" spans="1:17" x14ac:dyDescent="0.3">
      <c r="A17" s="177"/>
      <c r="B17" s="4">
        <v>0.14080000000000001</v>
      </c>
      <c r="C17" s="4">
        <v>7.4099999999999999E-2</v>
      </c>
      <c r="D17" s="4">
        <v>0.28079999999999999</v>
      </c>
      <c r="E17" s="4">
        <v>0.1613</v>
      </c>
      <c r="F17" s="4">
        <v>0.29830000000000001</v>
      </c>
      <c r="G17" s="4">
        <v>-0.16300000000000001</v>
      </c>
      <c r="H17" s="4">
        <v>0.2898</v>
      </c>
      <c r="I17" s="4">
        <v>0.39529999999999998</v>
      </c>
      <c r="J17" s="4">
        <v>0.2271</v>
      </c>
      <c r="K17" s="4">
        <v>0.18090000000000001</v>
      </c>
      <c r="L17" s="4">
        <v>0.1648</v>
      </c>
      <c r="M17" s="4">
        <v>0.41199999999999998</v>
      </c>
      <c r="N17" s="4">
        <v>0.82989999999999997</v>
      </c>
      <c r="O17" s="4">
        <v>0.117966666666667</v>
      </c>
      <c r="P17" s="4">
        <v>0.233125</v>
      </c>
      <c r="Q17" s="4">
        <v>0.23803333333333301</v>
      </c>
    </row>
    <row r="18" spans="1:17" x14ac:dyDescent="0.3">
      <c r="A18" s="177"/>
      <c r="B18" s="4">
        <v>0.1338</v>
      </c>
      <c r="C18" s="4">
        <v>0.14829999999999999</v>
      </c>
      <c r="D18" s="4">
        <v>0.25090000000000001</v>
      </c>
      <c r="E18" s="4">
        <v>9.6699999999999994E-2</v>
      </c>
      <c r="F18" s="4">
        <v>0.13289999999999999</v>
      </c>
      <c r="G18" s="4">
        <v>3.8600000000000002E-2</v>
      </c>
      <c r="H18" s="4">
        <v>0.37780000000000002</v>
      </c>
      <c r="I18" s="4">
        <v>0.22140000000000001</v>
      </c>
      <c r="J18" s="4">
        <v>0.1671</v>
      </c>
      <c r="K18" s="4">
        <v>0.11219999999999999</v>
      </c>
      <c r="L18" s="4">
        <v>0.15840000000000001</v>
      </c>
      <c r="M18" s="4">
        <v>6.0499999999999998E-2</v>
      </c>
      <c r="N18" s="4">
        <v>0.4375</v>
      </c>
      <c r="O18" s="4">
        <v>0.19450000000000001</v>
      </c>
      <c r="P18" s="4">
        <v>0.16525000000000001</v>
      </c>
      <c r="Q18" s="4">
        <v>9.7000000000000003E-2</v>
      </c>
    </row>
    <row r="19" spans="1:17" x14ac:dyDescent="0.3">
      <c r="A19" s="177"/>
      <c r="B19" s="4">
        <v>9.3200000000000005E-2</v>
      </c>
      <c r="C19" s="4">
        <v>0.12820000000000001</v>
      </c>
      <c r="D19" s="4">
        <v>0.19670000000000001</v>
      </c>
      <c r="E19" s="4">
        <v>0.1542</v>
      </c>
      <c r="F19" s="4">
        <v>-2.9399999999999999E-2</v>
      </c>
      <c r="G19" s="4">
        <v>9.1600000000000001E-2</v>
      </c>
      <c r="H19" s="4">
        <v>0.18459999999999999</v>
      </c>
      <c r="I19" s="4">
        <v>2.01E-2</v>
      </c>
      <c r="J19" s="4">
        <v>0.34129999999999999</v>
      </c>
      <c r="K19" s="4">
        <v>5.2400000000000002E-2</v>
      </c>
      <c r="L19" s="4">
        <v>8.6999999999999994E-2</v>
      </c>
      <c r="M19" s="4">
        <v>0.10199999999999999</v>
      </c>
      <c r="N19" s="4">
        <v>0.44109999999999999</v>
      </c>
      <c r="O19" s="4">
        <v>0.20583333333333301</v>
      </c>
      <c r="P19" s="4">
        <v>5.1475E-2</v>
      </c>
      <c r="Q19" s="4">
        <v>0.116466666666667</v>
      </c>
    </row>
    <row r="20" spans="1:17" x14ac:dyDescent="0.3">
      <c r="A20" s="177"/>
      <c r="B20" s="4">
        <v>4.8399999999999999E-2</v>
      </c>
      <c r="C20" s="4">
        <v>0.30620000000000003</v>
      </c>
      <c r="D20" s="4">
        <v>0.21390000000000001</v>
      </c>
      <c r="E20" s="4">
        <v>5.11E-2</v>
      </c>
      <c r="F20" s="4">
        <v>0.15229999999999999</v>
      </c>
      <c r="G20" s="4">
        <v>0.22120000000000001</v>
      </c>
      <c r="H20" s="4">
        <v>0.1176</v>
      </c>
      <c r="I20" s="4">
        <v>0.1027</v>
      </c>
      <c r="J20" s="4">
        <v>7.9000000000000001E-2</v>
      </c>
      <c r="K20" s="4">
        <v>9.9000000000000005E-2</v>
      </c>
      <c r="L20" s="4">
        <v>0.14050000000000001</v>
      </c>
      <c r="M20" s="4">
        <v>0.1394</v>
      </c>
      <c r="N20" s="4">
        <v>0.61570000000000003</v>
      </c>
      <c r="O20" s="4">
        <v>0.13926666666666701</v>
      </c>
      <c r="P20" s="4">
        <v>0.175425</v>
      </c>
      <c r="Q20" s="4">
        <v>7.9633333333333306E-2</v>
      </c>
    </row>
    <row r="21" spans="1:17" x14ac:dyDescent="0.3">
      <c r="A21" s="177"/>
      <c r="B21" s="4">
        <v>6.7199999999999996E-2</v>
      </c>
      <c r="C21" s="4">
        <v>0.21490000000000001</v>
      </c>
      <c r="D21" s="4">
        <v>0.24990000000000001</v>
      </c>
      <c r="E21" s="4">
        <v>7.6399999999999996E-2</v>
      </c>
      <c r="F21" s="4">
        <v>0.19040000000000001</v>
      </c>
      <c r="G21" s="4">
        <v>-1.9699999999999999E-2</v>
      </c>
      <c r="H21" s="4">
        <v>0.11459999999999999</v>
      </c>
      <c r="I21" s="4">
        <v>6.7000000000000002E-3</v>
      </c>
      <c r="J21" s="4">
        <v>5.8500000000000003E-2</v>
      </c>
      <c r="K21" s="4">
        <v>4.4600000000000001E-2</v>
      </c>
      <c r="L21" s="4">
        <v>0.18340000000000001</v>
      </c>
      <c r="M21" s="4">
        <v>0.1212</v>
      </c>
      <c r="N21" s="4">
        <v>0.35270000000000001</v>
      </c>
      <c r="O21" s="4">
        <v>5.1133333333333301E-2</v>
      </c>
      <c r="P21" s="4">
        <v>0.14885000000000001</v>
      </c>
      <c r="Q21" s="4">
        <v>8.8266666666666702E-2</v>
      </c>
    </row>
    <row r="22" spans="1:17" x14ac:dyDescent="0.3">
      <c r="A22" s="177"/>
      <c r="B22" s="4">
        <v>0.1164</v>
      </c>
      <c r="C22" s="4">
        <v>0.2089</v>
      </c>
      <c r="D22" s="4">
        <v>0.25330000000000003</v>
      </c>
      <c r="E22" s="4">
        <v>4.4499999999999998E-2</v>
      </c>
      <c r="F22" s="4">
        <v>0.2243</v>
      </c>
      <c r="G22" s="4">
        <v>8.5599999999999996E-2</v>
      </c>
      <c r="H22" s="4">
        <v>-3.8399999999999997E-2</v>
      </c>
      <c r="I22" s="4">
        <v>0.20830000000000001</v>
      </c>
      <c r="J22" s="4">
        <v>3.6299999999999999E-2</v>
      </c>
      <c r="K22" s="4">
        <v>0.107</v>
      </c>
      <c r="L22" s="4">
        <v>0.1187</v>
      </c>
      <c r="M22" s="4">
        <v>3.0599999999999999E-2</v>
      </c>
      <c r="N22" s="4">
        <v>5.3E-3</v>
      </c>
      <c r="O22" s="4">
        <v>2.78333333333333E-2</v>
      </c>
      <c r="P22" s="4">
        <v>0.19005</v>
      </c>
      <c r="Q22" s="4">
        <v>6.3833333333333298E-2</v>
      </c>
    </row>
    <row r="23" spans="1:17" x14ac:dyDescent="0.3">
      <c r="A23" s="177"/>
      <c r="B23" s="4">
        <v>0.1711</v>
      </c>
      <c r="C23" s="4">
        <v>0.21729999999999999</v>
      </c>
      <c r="D23" s="4">
        <v>0.26190000000000002</v>
      </c>
      <c r="E23" s="4">
        <v>0.2127</v>
      </c>
      <c r="F23" s="4">
        <v>0.30549999999999999</v>
      </c>
      <c r="G23" s="4">
        <v>0.31230000000000002</v>
      </c>
      <c r="H23" s="4">
        <v>0.2127</v>
      </c>
      <c r="I23" s="4">
        <v>0.16889999999999999</v>
      </c>
      <c r="J23" s="4">
        <v>0.26029999999999998</v>
      </c>
      <c r="K23" s="4">
        <v>0.16639999999999999</v>
      </c>
      <c r="L23" s="4">
        <v>0.17319999999999999</v>
      </c>
      <c r="M23" s="4">
        <v>0.1512</v>
      </c>
      <c r="N23" s="4">
        <v>6.3E-2</v>
      </c>
      <c r="O23" s="4">
        <v>0.26176666666666698</v>
      </c>
      <c r="P23" s="4">
        <v>0.216225</v>
      </c>
      <c r="Q23" s="4">
        <v>0.17833333333333301</v>
      </c>
    </row>
    <row r="24" spans="1:17" x14ac:dyDescent="0.3">
      <c r="A24" s="177"/>
      <c r="B24" s="4">
        <v>0.12820000000000001</v>
      </c>
      <c r="C24" s="4">
        <v>-0.1832</v>
      </c>
      <c r="D24" s="4">
        <v>0.18859999999999999</v>
      </c>
      <c r="E24" s="4">
        <v>3.6600000000000001E-2</v>
      </c>
      <c r="F24" s="4">
        <v>0.15640000000000001</v>
      </c>
      <c r="G24" s="4">
        <v>0.19570000000000001</v>
      </c>
      <c r="H24" s="4">
        <v>0.1211</v>
      </c>
      <c r="I24" s="4">
        <v>0.15809999999999999</v>
      </c>
      <c r="J24" s="4">
        <v>0.11600000000000001</v>
      </c>
      <c r="K24" s="4">
        <v>1.8800000000000001E-2</v>
      </c>
      <c r="L24" s="4">
        <v>0.17399999999999999</v>
      </c>
      <c r="M24" s="4">
        <v>7.1400000000000005E-2</v>
      </c>
      <c r="N24" s="4">
        <v>-6.3299999999999995E-2</v>
      </c>
      <c r="O24" s="4">
        <v>0.14426666666666699</v>
      </c>
      <c r="P24" s="4">
        <v>7.6325000000000004E-2</v>
      </c>
      <c r="Q24" s="4">
        <v>7.8733333333333294E-2</v>
      </c>
    </row>
    <row r="25" spans="1:17" x14ac:dyDescent="0.3">
      <c r="A25" s="178"/>
      <c r="B25" s="4">
        <v>9.6199999999999994E-2</v>
      </c>
      <c r="C25" s="4">
        <v>-0.18049999999999999</v>
      </c>
      <c r="D25" s="4">
        <v>0.1767</v>
      </c>
      <c r="E25" s="4">
        <v>9.3100000000000002E-2</v>
      </c>
      <c r="F25" s="4">
        <v>0.1741</v>
      </c>
      <c r="G25" s="4">
        <v>6.7500000000000004E-2</v>
      </c>
      <c r="H25" s="4">
        <v>0.13370000000000001</v>
      </c>
      <c r="I25" s="4">
        <v>-0.1159</v>
      </c>
      <c r="J25" s="4">
        <v>0.39340000000000003</v>
      </c>
      <c r="K25" s="4">
        <v>0.10539999999999999</v>
      </c>
      <c r="L25" s="4">
        <v>8.4400000000000003E-2</v>
      </c>
      <c r="M25" s="4">
        <v>4.9599999999999998E-2</v>
      </c>
      <c r="N25" s="4">
        <v>-0.16</v>
      </c>
      <c r="O25" s="4">
        <v>0.19819999999999999</v>
      </c>
      <c r="P25" s="4">
        <v>-9.4750000000000008E-3</v>
      </c>
      <c r="Q25" s="4">
        <v>7.9633333333333306E-2</v>
      </c>
    </row>
    <row r="26" spans="1:17" x14ac:dyDescent="0.3">
      <c r="A26" s="176">
        <v>2019</v>
      </c>
      <c r="B26" s="4">
        <v>5.6099999999999997E-2</v>
      </c>
      <c r="C26" s="4">
        <v>8.72E-2</v>
      </c>
      <c r="D26" s="4">
        <v>0.18720000000000001</v>
      </c>
      <c r="E26" s="4">
        <v>5.21E-2</v>
      </c>
      <c r="F26" s="4">
        <v>3.0099999999999998E-2</v>
      </c>
      <c r="G26" s="4">
        <v>-5.4800000000000001E-2</v>
      </c>
      <c r="H26" s="4">
        <v>-4.5400000000000003E-2</v>
      </c>
      <c r="I26" s="4">
        <v>5.7799999999999997E-2</v>
      </c>
      <c r="J26" s="4">
        <v>-0.1348</v>
      </c>
      <c r="K26" s="4">
        <v>6.0299999999999999E-2</v>
      </c>
      <c r="L26" s="4">
        <v>0.2215</v>
      </c>
      <c r="M26" s="4">
        <v>2.4E-2</v>
      </c>
      <c r="N26" s="4">
        <v>-0.1037</v>
      </c>
      <c r="O26" s="4">
        <v>-7.8333333333333297E-2</v>
      </c>
      <c r="P26" s="4">
        <v>9.9150000000000002E-2</v>
      </c>
      <c r="Q26" s="4">
        <v>4.4066666666666698E-2</v>
      </c>
    </row>
    <row r="27" spans="1:17" x14ac:dyDescent="0.3">
      <c r="A27" s="177"/>
      <c r="B27" s="4">
        <v>9.4200000000000006E-2</v>
      </c>
      <c r="C27" s="4">
        <v>1.9199999999999998E-2</v>
      </c>
      <c r="D27" s="4">
        <v>0.36449999999999999</v>
      </c>
      <c r="E27" s="4">
        <v>1.4800000000000001E-2</v>
      </c>
      <c r="F27" s="4">
        <v>0.1004</v>
      </c>
      <c r="G27" s="4">
        <v>4.7800000000000002E-2</v>
      </c>
      <c r="H27" s="4">
        <v>-8.1299999999999997E-2</v>
      </c>
      <c r="I27" s="4">
        <v>0.24540000000000001</v>
      </c>
      <c r="J27" s="4">
        <v>8.9999999999999998E-4</v>
      </c>
      <c r="K27" s="4">
        <v>2.8899999999999999E-2</v>
      </c>
      <c r="L27" s="4">
        <v>6.4100000000000004E-2</v>
      </c>
      <c r="M27" s="4">
        <v>7.8E-2</v>
      </c>
      <c r="N27" s="4">
        <v>-0.23050000000000001</v>
      </c>
      <c r="O27" s="4">
        <v>-1.08666666666667E-2</v>
      </c>
      <c r="P27" s="4">
        <v>0.107275</v>
      </c>
      <c r="Q27" s="4">
        <v>6.2333333333333303E-2</v>
      </c>
    </row>
    <row r="28" spans="1:17" x14ac:dyDescent="0.3">
      <c r="A28" s="177"/>
      <c r="B28" s="4">
        <v>-3.3999999999999998E-3</v>
      </c>
      <c r="C28" s="4">
        <v>-0.14280000000000001</v>
      </c>
      <c r="D28" s="4">
        <v>3.0800000000000001E-2</v>
      </c>
      <c r="E28" s="4">
        <v>-4.1999999999999997E-3</v>
      </c>
      <c r="F28" s="4">
        <v>0.2036</v>
      </c>
      <c r="G28" s="4">
        <v>0.17460000000000001</v>
      </c>
      <c r="H28" s="4">
        <v>0.1305</v>
      </c>
      <c r="I28" s="4">
        <v>-4.7899999999999998E-2</v>
      </c>
      <c r="J28" s="4">
        <v>0.14580000000000001</v>
      </c>
      <c r="K28" s="4">
        <v>6.0100000000000001E-2</v>
      </c>
      <c r="L28" s="4">
        <v>0.22600000000000001</v>
      </c>
      <c r="M28" s="4">
        <v>0.10199999999999999</v>
      </c>
      <c r="N28" s="4">
        <v>-0.4123</v>
      </c>
      <c r="O28" s="4">
        <v>0.15029999999999999</v>
      </c>
      <c r="P28" s="4">
        <v>5.9725E-2</v>
      </c>
      <c r="Q28" s="4">
        <v>3.1466666666666698E-2</v>
      </c>
    </row>
    <row r="29" spans="1:17" x14ac:dyDescent="0.3">
      <c r="A29" s="177"/>
      <c r="B29" s="4">
        <v>1.4E-2</v>
      </c>
      <c r="C29" s="4">
        <v>2.47E-2</v>
      </c>
      <c r="D29" s="4">
        <v>0.221</v>
      </c>
      <c r="E29" s="4">
        <v>4.4900000000000002E-2</v>
      </c>
      <c r="F29" s="4">
        <v>7.46E-2</v>
      </c>
      <c r="G29" s="4">
        <v>0.14399999999999999</v>
      </c>
      <c r="H29" s="4">
        <v>-1.23E-2</v>
      </c>
      <c r="I29" s="4">
        <v>0.13370000000000001</v>
      </c>
      <c r="J29" s="4">
        <v>0.2</v>
      </c>
      <c r="K29" s="4">
        <v>4.07E-2</v>
      </c>
      <c r="L29" s="4">
        <v>0.1321</v>
      </c>
      <c r="M29" s="4">
        <v>-1.6400000000000001E-2</v>
      </c>
      <c r="N29" s="4">
        <v>-0.46739999999999998</v>
      </c>
      <c r="O29" s="4">
        <v>0.11056666666666699</v>
      </c>
      <c r="P29" s="4">
        <v>9.1274999999999995E-2</v>
      </c>
      <c r="Q29" s="4">
        <v>1.4166666666666701E-2</v>
      </c>
    </row>
    <row r="30" spans="1:17" x14ac:dyDescent="0.3">
      <c r="A30" s="177"/>
      <c r="B30" s="4">
        <v>-4.0000000000000002E-4</v>
      </c>
      <c r="C30" s="4">
        <v>6.3399999999999998E-2</v>
      </c>
      <c r="D30" s="4">
        <v>0.16389999999999999</v>
      </c>
      <c r="E30" s="4">
        <v>-5.8799999999999998E-2</v>
      </c>
      <c r="F30" s="4">
        <v>0.15670000000000001</v>
      </c>
      <c r="G30" s="4">
        <v>-5.1000000000000004E-3</v>
      </c>
      <c r="H30" s="4">
        <v>-0.1085</v>
      </c>
      <c r="I30" s="4">
        <v>9.1600000000000001E-2</v>
      </c>
      <c r="J30" s="4">
        <v>7.2800000000000004E-2</v>
      </c>
      <c r="K30" s="4">
        <v>-3.2099999999999997E-2</v>
      </c>
      <c r="L30" s="4">
        <v>5.5599999999999997E-2</v>
      </c>
      <c r="M30" s="4">
        <v>-2.2499999999999999E-2</v>
      </c>
      <c r="N30" s="4">
        <v>-0.31419999999999998</v>
      </c>
      <c r="O30" s="4">
        <v>-1.3599999999999999E-2</v>
      </c>
      <c r="P30" s="4">
        <v>9.1825000000000004E-2</v>
      </c>
      <c r="Q30" s="4">
        <v>-2.72333333333333E-2</v>
      </c>
    </row>
    <row r="31" spans="1:17" x14ac:dyDescent="0.3">
      <c r="A31" s="177"/>
      <c r="B31" s="4">
        <v>4.5100000000000001E-2</v>
      </c>
      <c r="C31" s="4">
        <v>-5.8000000000000003E-2</v>
      </c>
      <c r="D31" s="4">
        <v>0.2036</v>
      </c>
      <c r="E31" s="4">
        <v>-2.5899999999999999E-2</v>
      </c>
      <c r="F31" s="4">
        <v>0.23619999999999999</v>
      </c>
      <c r="G31" s="4">
        <v>6.8999999999999999E-3</v>
      </c>
      <c r="H31" s="4">
        <v>8.0100000000000005E-2</v>
      </c>
      <c r="I31" s="4">
        <v>0.16489999999999999</v>
      </c>
      <c r="J31" s="4">
        <v>1.09E-2</v>
      </c>
      <c r="K31" s="4">
        <v>6.2100000000000002E-2</v>
      </c>
      <c r="L31" s="4">
        <v>0.14380000000000001</v>
      </c>
      <c r="M31" s="4">
        <v>6.5799999999999997E-2</v>
      </c>
      <c r="N31" s="4">
        <v>-0.27050000000000002</v>
      </c>
      <c r="O31" s="4">
        <v>3.2633333333333299E-2</v>
      </c>
      <c r="P31" s="4">
        <v>0.121725</v>
      </c>
      <c r="Q31" s="4">
        <v>2.8333333333333301E-2</v>
      </c>
    </row>
    <row r="32" spans="1:17" x14ac:dyDescent="0.3">
      <c r="A32" s="177"/>
      <c r="B32" s="4">
        <v>0.15290000000000001</v>
      </c>
      <c r="C32" s="4">
        <v>-0.17960000000000001</v>
      </c>
      <c r="D32" s="4">
        <v>0.23319999999999999</v>
      </c>
      <c r="E32" s="4">
        <v>5.5500000000000001E-2</v>
      </c>
      <c r="F32" s="4">
        <v>0.1489</v>
      </c>
      <c r="G32" s="4">
        <v>1.5299999999999999E-2</v>
      </c>
      <c r="H32" s="4">
        <v>0.18890000000000001</v>
      </c>
      <c r="I32" s="4">
        <v>0.1671</v>
      </c>
      <c r="J32" s="4">
        <v>-4.1099999999999998E-2</v>
      </c>
      <c r="K32" s="4">
        <v>8.2000000000000003E-2</v>
      </c>
      <c r="L32" s="4">
        <v>0.13850000000000001</v>
      </c>
      <c r="M32" s="4">
        <v>0.1091</v>
      </c>
      <c r="N32" s="4">
        <v>-0.26519999999999999</v>
      </c>
      <c r="O32" s="4">
        <v>5.4366666666666702E-2</v>
      </c>
      <c r="P32" s="4">
        <v>6.8724999999999994E-2</v>
      </c>
      <c r="Q32" s="4">
        <v>0.105833333333333</v>
      </c>
    </row>
    <row r="33" spans="1:17" x14ac:dyDescent="0.3">
      <c r="A33" s="177"/>
      <c r="B33" s="4">
        <v>0.15160000000000001</v>
      </c>
      <c r="C33" s="4">
        <v>-0.11269999999999999</v>
      </c>
      <c r="D33" s="4">
        <v>0.1852</v>
      </c>
      <c r="E33" s="4">
        <v>1.0999999999999999E-2</v>
      </c>
      <c r="F33" s="4">
        <v>2.9600000000000001E-2</v>
      </c>
      <c r="G33" s="4">
        <v>0.24399999999999999</v>
      </c>
      <c r="H33" s="4">
        <v>0.13159999999999999</v>
      </c>
      <c r="I33" s="4">
        <v>0.21729999999999999</v>
      </c>
      <c r="J33" s="4">
        <v>9.1000000000000004E-3</v>
      </c>
      <c r="K33" s="4">
        <v>1.0999999999999999E-2</v>
      </c>
      <c r="L33" s="4">
        <v>5.3100000000000001E-2</v>
      </c>
      <c r="M33" s="4">
        <v>-2.7000000000000001E-3</v>
      </c>
      <c r="N33" s="4">
        <v>-0.22289999999999999</v>
      </c>
      <c r="O33" s="4">
        <v>0.128233333333333</v>
      </c>
      <c r="P33" s="4">
        <v>4.6824999999999999E-2</v>
      </c>
      <c r="Q33" s="4">
        <v>5.33E-2</v>
      </c>
    </row>
    <row r="34" spans="1:17" x14ac:dyDescent="0.3">
      <c r="A34" s="177"/>
      <c r="B34" s="4">
        <v>0.1008</v>
      </c>
      <c r="C34" s="4">
        <v>-0.1138</v>
      </c>
      <c r="D34" s="4">
        <v>0.31330000000000002</v>
      </c>
      <c r="E34" s="4">
        <v>1.6400000000000001E-2</v>
      </c>
      <c r="F34" s="4">
        <v>0.15010000000000001</v>
      </c>
      <c r="G34" s="4">
        <v>3.5400000000000001E-2</v>
      </c>
      <c r="H34" s="4">
        <v>0.33729999999999999</v>
      </c>
      <c r="I34" s="4">
        <v>0.12479999999999999</v>
      </c>
      <c r="J34" s="4">
        <v>0.28439999999999999</v>
      </c>
      <c r="K34" s="4">
        <v>6.6900000000000001E-2</v>
      </c>
      <c r="L34" s="4">
        <v>0.1353</v>
      </c>
      <c r="M34" s="4">
        <v>0.16189999999999999</v>
      </c>
      <c r="N34" s="4">
        <v>2.8999999999999998E-3</v>
      </c>
      <c r="O34" s="4">
        <v>0.219033333333333</v>
      </c>
      <c r="P34" s="4">
        <v>7.4099999999999999E-2</v>
      </c>
      <c r="Q34" s="4">
        <v>9.3033333333333301E-2</v>
      </c>
    </row>
    <row r="35" spans="1:17" x14ac:dyDescent="0.3">
      <c r="A35" s="177"/>
      <c r="B35" s="4">
        <v>3.95E-2</v>
      </c>
      <c r="C35" s="4">
        <v>-0.20930000000000001</v>
      </c>
      <c r="D35" s="4">
        <v>0.32150000000000001</v>
      </c>
      <c r="E35" s="4">
        <v>-0.1009</v>
      </c>
      <c r="F35" s="4">
        <v>6.2100000000000002E-2</v>
      </c>
      <c r="G35" s="4">
        <v>1.8E-3</v>
      </c>
      <c r="H35" s="4">
        <v>1.0500000000000001E-2</v>
      </c>
      <c r="I35" s="4">
        <v>-8.6300000000000002E-2</v>
      </c>
      <c r="J35" s="4">
        <v>7.6100000000000001E-2</v>
      </c>
      <c r="K35" s="4">
        <v>8.9999999999999993E-3</v>
      </c>
      <c r="L35" s="4">
        <v>0.16120000000000001</v>
      </c>
      <c r="M35" s="4">
        <v>-2.1999999999999999E-2</v>
      </c>
      <c r="N35" s="4">
        <v>-7.9100000000000004E-2</v>
      </c>
      <c r="O35" s="4">
        <v>2.94666666666667E-2</v>
      </c>
      <c r="P35" s="4">
        <v>-1.8075000000000001E-2</v>
      </c>
      <c r="Q35" s="4">
        <v>-2.7799999999999998E-2</v>
      </c>
    </row>
    <row r="36" spans="1:17" x14ac:dyDescent="0.3">
      <c r="A36" s="177"/>
      <c r="B36" s="4">
        <v>7.51E-2</v>
      </c>
      <c r="C36" s="4">
        <v>-0.45479999999999998</v>
      </c>
      <c r="D36" s="4">
        <v>0.34089999999999998</v>
      </c>
      <c r="E36" s="4">
        <v>-0.20349999999999999</v>
      </c>
      <c r="F36" s="4">
        <v>2.6100000000000002E-2</v>
      </c>
      <c r="G36" s="4">
        <v>0.10970000000000001</v>
      </c>
      <c r="H36" s="4">
        <v>0.18140000000000001</v>
      </c>
      <c r="I36" s="4">
        <v>-8.9800000000000005E-2</v>
      </c>
      <c r="J36" s="4">
        <v>0.13139999999999999</v>
      </c>
      <c r="K36" s="4">
        <v>0.1158</v>
      </c>
      <c r="L36" s="4">
        <v>0.1051</v>
      </c>
      <c r="M36" s="4">
        <v>3.8800000000000001E-2</v>
      </c>
      <c r="N36" s="4">
        <v>-0.26590000000000003</v>
      </c>
      <c r="O36" s="4">
        <v>0.14083333333333301</v>
      </c>
      <c r="P36" s="4">
        <v>-0.10335</v>
      </c>
      <c r="Q36" s="4">
        <v>-2.9866666666666701E-2</v>
      </c>
    </row>
    <row r="37" spans="1:17" x14ac:dyDescent="0.3">
      <c r="A37" s="178"/>
      <c r="B37" s="4">
        <v>0.3362</v>
      </c>
      <c r="C37" s="4">
        <v>0.40550000000000003</v>
      </c>
      <c r="D37" s="4">
        <v>0.28239999999999998</v>
      </c>
      <c r="E37" s="4">
        <v>-2.4299999999999999E-2</v>
      </c>
      <c r="F37" s="4">
        <v>0.17649999999999999</v>
      </c>
      <c r="G37" s="4">
        <v>0.21490000000000001</v>
      </c>
      <c r="H37" s="4">
        <v>8.3400000000000002E-2</v>
      </c>
      <c r="I37" s="4">
        <v>0.1211</v>
      </c>
      <c r="J37" s="4">
        <v>0.16539999999999999</v>
      </c>
      <c r="K37" s="4">
        <v>9.4899999999999998E-2</v>
      </c>
      <c r="L37" s="4">
        <v>0.21199999999999999</v>
      </c>
      <c r="M37" s="4">
        <v>0.1749</v>
      </c>
      <c r="N37" s="4">
        <v>-0.23760000000000001</v>
      </c>
      <c r="O37" s="4">
        <v>0.15456666666666699</v>
      </c>
      <c r="P37" s="4">
        <v>0.22877500000000001</v>
      </c>
      <c r="Q37" s="4">
        <v>0.162266666666667</v>
      </c>
    </row>
    <row r="38" spans="1:17" x14ac:dyDescent="0.3">
      <c r="A38" s="176">
        <v>2020</v>
      </c>
      <c r="B38" s="4">
        <v>0.18579999999999999</v>
      </c>
      <c r="C38" s="4">
        <v>0.20660000000000001</v>
      </c>
      <c r="D38" s="4">
        <v>0.252</v>
      </c>
      <c r="E38" s="4">
        <v>-5.4399999999999997E-2</v>
      </c>
      <c r="F38" s="4">
        <v>0.18579999999999999</v>
      </c>
      <c r="G38" s="4">
        <v>0.3352</v>
      </c>
      <c r="H38" s="4">
        <v>0.21609999999999999</v>
      </c>
      <c r="I38" s="4">
        <v>6.7000000000000004E-2</v>
      </c>
      <c r="J38" s="4">
        <v>0.21179999999999999</v>
      </c>
      <c r="K38" s="4">
        <v>4.0500000000000001E-2</v>
      </c>
      <c r="L38" s="4">
        <v>7.2499999999999995E-2</v>
      </c>
      <c r="M38" s="4">
        <v>0.12470000000000001</v>
      </c>
      <c r="N38" s="4">
        <v>-0.1585</v>
      </c>
      <c r="O38" s="4">
        <v>0.25436666666666702</v>
      </c>
      <c r="P38" s="4">
        <v>0.13297500000000001</v>
      </c>
      <c r="Q38" s="4">
        <v>8.5366666666666702E-2</v>
      </c>
    </row>
    <row r="39" spans="1:17" x14ac:dyDescent="0.3">
      <c r="A39" s="177"/>
      <c r="B39" s="4">
        <v>0.12039999999999999</v>
      </c>
      <c r="C39" s="4">
        <v>0.28560000000000002</v>
      </c>
      <c r="D39" s="4">
        <v>0.14480000000000001</v>
      </c>
      <c r="E39" s="4">
        <v>7.0400000000000004E-2</v>
      </c>
      <c r="F39" s="4">
        <v>0.18140000000000001</v>
      </c>
      <c r="G39" s="4">
        <v>0.27379999999999999</v>
      </c>
      <c r="H39" s="4">
        <v>0.1928</v>
      </c>
      <c r="I39" s="4">
        <v>-2.3699999999999999E-2</v>
      </c>
      <c r="J39" s="4">
        <v>0.1236</v>
      </c>
      <c r="K39" s="4">
        <v>0.11940000000000001</v>
      </c>
      <c r="L39" s="4">
        <v>0.21029999999999999</v>
      </c>
      <c r="M39" s="4">
        <v>-1.14E-2</v>
      </c>
      <c r="N39" s="4">
        <v>-0.1066</v>
      </c>
      <c r="O39" s="4">
        <v>0.19673333333333301</v>
      </c>
      <c r="P39" s="4">
        <v>0.16339999999999999</v>
      </c>
      <c r="Q39" s="4">
        <v>5.9799999999999999E-2</v>
      </c>
    </row>
    <row r="40" spans="1:17" x14ac:dyDescent="0.3">
      <c r="A40" s="177"/>
      <c r="B40" s="4">
        <v>-4.3299999999999998E-2</v>
      </c>
      <c r="C40" s="4">
        <v>6.7699999999999996E-2</v>
      </c>
      <c r="D40" s="4">
        <v>0.19800000000000001</v>
      </c>
      <c r="E40" s="4">
        <v>-0.21890000000000001</v>
      </c>
      <c r="F40" s="4">
        <v>7.7000000000000002E-3</v>
      </c>
      <c r="G40" s="4">
        <v>8.8099999999999998E-2</v>
      </c>
      <c r="H40" s="4">
        <v>-0.2334</v>
      </c>
      <c r="I40" s="4">
        <v>-0.23810000000000001</v>
      </c>
      <c r="J40" s="4">
        <v>-6.6699999999999995E-2</v>
      </c>
      <c r="K40" s="4">
        <v>-2.8E-3</v>
      </c>
      <c r="L40" s="4">
        <v>-0.20810000000000001</v>
      </c>
      <c r="M40" s="4">
        <v>-0.1032</v>
      </c>
      <c r="N40" s="4">
        <v>-0.1946</v>
      </c>
      <c r="O40" s="4">
        <v>-7.0666666666666697E-2</v>
      </c>
      <c r="P40" s="4">
        <v>-9.2700000000000005E-2</v>
      </c>
      <c r="Q40" s="4">
        <v>-0.12180000000000001</v>
      </c>
    </row>
    <row r="41" spans="1:17" x14ac:dyDescent="0.3">
      <c r="A41" s="177"/>
      <c r="B41" s="4">
        <v>-0.56910000000000005</v>
      </c>
      <c r="C41" s="4">
        <v>-0.73780000000000001</v>
      </c>
      <c r="D41" s="4">
        <v>-0.54890000000000005</v>
      </c>
      <c r="E41" s="4">
        <v>-0.56440000000000001</v>
      </c>
      <c r="F41" s="4">
        <v>-0.6018</v>
      </c>
      <c r="G41" s="4">
        <v>-0.31990000000000002</v>
      </c>
      <c r="H41" s="4">
        <v>-0.74929999999999997</v>
      </c>
      <c r="I41" s="4">
        <v>-0.74760000000000004</v>
      </c>
      <c r="J41" s="4">
        <v>-0.60389999999999999</v>
      </c>
      <c r="K41" s="4">
        <v>-0.54490000000000005</v>
      </c>
      <c r="L41" s="4">
        <v>-0.7097</v>
      </c>
      <c r="M41" s="4">
        <v>-0.58960000000000001</v>
      </c>
      <c r="N41" s="4">
        <v>-0.67049999999999998</v>
      </c>
      <c r="O41" s="4">
        <v>-0.55769999999999997</v>
      </c>
      <c r="P41" s="4">
        <v>-0.69922499999999999</v>
      </c>
      <c r="Q41" s="4">
        <v>-0.57436666666666703</v>
      </c>
    </row>
    <row r="42" spans="1:17" x14ac:dyDescent="0.3">
      <c r="A42" s="177"/>
      <c r="B42" s="4">
        <v>-0.56610000000000005</v>
      </c>
      <c r="C42" s="4">
        <v>-0.60360000000000003</v>
      </c>
      <c r="D42" s="4">
        <v>-0.50609999999999999</v>
      </c>
      <c r="E42" s="4">
        <v>-0.53910000000000002</v>
      </c>
      <c r="F42" s="4">
        <v>-0.51100000000000001</v>
      </c>
      <c r="G42" s="4">
        <v>-0.32540000000000002</v>
      </c>
      <c r="H42" s="4">
        <v>-0.68969999999999998</v>
      </c>
      <c r="I42" s="4">
        <v>-0.59040000000000004</v>
      </c>
      <c r="J42" s="4">
        <v>-0.48459999999999998</v>
      </c>
      <c r="K42" s="4">
        <v>-0.54869999999999997</v>
      </c>
      <c r="L42" s="4">
        <v>-0.64700000000000002</v>
      </c>
      <c r="M42" s="4">
        <v>-0.5655</v>
      </c>
      <c r="N42" s="4">
        <v>-0.622</v>
      </c>
      <c r="O42" s="4">
        <v>-0.49990000000000001</v>
      </c>
      <c r="P42" s="4">
        <v>-0.58799999999999997</v>
      </c>
      <c r="Q42" s="4">
        <v>-0.55689999999999995</v>
      </c>
    </row>
    <row r="43" spans="1:17" x14ac:dyDescent="0.3">
      <c r="A43" s="177"/>
      <c r="B43" s="4">
        <v>-0.41899999999999998</v>
      </c>
      <c r="C43" s="4">
        <v>-0.33650000000000002</v>
      </c>
      <c r="D43" s="4">
        <v>-0.29299999999999998</v>
      </c>
      <c r="E43" s="4">
        <v>-0.38069999999999998</v>
      </c>
      <c r="F43" s="4">
        <v>-0.29170000000000001</v>
      </c>
      <c r="G43" s="4">
        <v>-0.10199999999999999</v>
      </c>
      <c r="H43" s="4">
        <v>-0.39429999999999998</v>
      </c>
      <c r="I43" s="4">
        <v>-0.36</v>
      </c>
      <c r="J43" s="4">
        <v>-0.372</v>
      </c>
      <c r="K43" s="4">
        <v>-0.38929999999999998</v>
      </c>
      <c r="L43" s="4">
        <v>-0.45760000000000001</v>
      </c>
      <c r="M43" s="4">
        <v>-0.26269999999999999</v>
      </c>
      <c r="N43" s="4">
        <v>-0.42009999999999997</v>
      </c>
      <c r="O43" s="4">
        <v>-0.28943333333333299</v>
      </c>
      <c r="P43" s="4">
        <v>-0.36144999999999999</v>
      </c>
      <c r="Q43" s="4">
        <v>-0.35413333333333302</v>
      </c>
    </row>
    <row r="44" spans="1:17" x14ac:dyDescent="0.3">
      <c r="A44" s="177"/>
      <c r="B44" s="4">
        <v>-0.34329999999999999</v>
      </c>
      <c r="C44" s="4">
        <v>4.3299999999999998E-2</v>
      </c>
      <c r="D44" s="4">
        <v>-0.1696</v>
      </c>
      <c r="E44" s="4">
        <v>-0.38700000000000001</v>
      </c>
      <c r="F44" s="4">
        <v>-0.14080000000000001</v>
      </c>
      <c r="G44" s="4">
        <v>-0.13830000000000001</v>
      </c>
      <c r="H44" s="4">
        <v>-0.35160000000000002</v>
      </c>
      <c r="I44" s="4">
        <v>-0.20880000000000001</v>
      </c>
      <c r="J44" s="4">
        <v>-9.9099999999999994E-2</v>
      </c>
      <c r="K44" s="4">
        <v>-0.28710000000000002</v>
      </c>
      <c r="L44" s="4">
        <v>-0.30280000000000001</v>
      </c>
      <c r="M44" s="4">
        <v>-0.1404</v>
      </c>
      <c r="N44" s="4">
        <v>-0.32129999999999997</v>
      </c>
      <c r="O44" s="4">
        <v>-0.196333333333333</v>
      </c>
      <c r="P44" s="4">
        <v>-0.15227499999999999</v>
      </c>
      <c r="Q44" s="4">
        <v>-0.29023333333333301</v>
      </c>
    </row>
    <row r="45" spans="1:17" x14ac:dyDescent="0.3">
      <c r="A45" s="177"/>
      <c r="B45" s="4">
        <v>-0.28489999999999999</v>
      </c>
      <c r="C45" s="4">
        <v>-0.31990000000000002</v>
      </c>
      <c r="D45" s="4">
        <v>-0.1239</v>
      </c>
      <c r="E45" s="4">
        <v>-0.35470000000000002</v>
      </c>
      <c r="F45" s="4">
        <v>-0.12640000000000001</v>
      </c>
      <c r="G45" s="4">
        <v>-0.14230000000000001</v>
      </c>
      <c r="H45" s="4">
        <v>-0.30309999999999998</v>
      </c>
      <c r="I45" s="4">
        <v>-0.24379999999999999</v>
      </c>
      <c r="J45" s="4">
        <v>5.3E-3</v>
      </c>
      <c r="K45" s="4">
        <v>-0.2122</v>
      </c>
      <c r="L45" s="4">
        <v>-0.26190000000000002</v>
      </c>
      <c r="M45" s="4">
        <v>-0.10580000000000001</v>
      </c>
      <c r="N45" s="4">
        <v>-0.254</v>
      </c>
      <c r="O45" s="4">
        <v>-0.1467</v>
      </c>
      <c r="P45" s="4">
        <v>-0.23799999999999999</v>
      </c>
      <c r="Q45" s="4">
        <v>-0.248466666666667</v>
      </c>
    </row>
    <row r="46" spans="1:17" x14ac:dyDescent="0.3">
      <c r="A46" s="177"/>
      <c r="B46" s="4">
        <v>-8.4199999999999997E-2</v>
      </c>
      <c r="C46" s="4">
        <v>5.2600000000000001E-2</v>
      </c>
      <c r="D46" s="4">
        <v>2.3099999999999999E-2</v>
      </c>
      <c r="E46" s="4">
        <v>-5.2499999999999998E-2</v>
      </c>
      <c r="F46" s="4">
        <v>1.3100000000000001E-2</v>
      </c>
      <c r="G46" s="4">
        <v>-6.5199999999999994E-2</v>
      </c>
      <c r="H46" s="4">
        <v>-0.10440000000000001</v>
      </c>
      <c r="I46" s="4">
        <v>-0.1759</v>
      </c>
      <c r="J46" s="4">
        <v>5.9200000000000003E-2</v>
      </c>
      <c r="K46" s="4">
        <v>-0.1129</v>
      </c>
      <c r="L46" s="4">
        <v>-0.13109999999999999</v>
      </c>
      <c r="M46" s="4">
        <v>-6.6000000000000003E-2</v>
      </c>
      <c r="N46" s="4">
        <v>-0.26040000000000002</v>
      </c>
      <c r="O46" s="4">
        <v>-3.6799999999999999E-2</v>
      </c>
      <c r="P46" s="4">
        <v>-6.0324999999999997E-2</v>
      </c>
      <c r="Q46" s="4">
        <v>-6.7566666666666705E-2</v>
      </c>
    </row>
    <row r="47" spans="1:17" x14ac:dyDescent="0.3">
      <c r="A47" s="177"/>
      <c r="B47" s="4">
        <v>8.1500000000000003E-2</v>
      </c>
      <c r="C47" s="4">
        <v>3.9899999999999998E-2</v>
      </c>
      <c r="D47" s="4">
        <v>9.3600000000000003E-2</v>
      </c>
      <c r="E47" s="4">
        <v>2.5999999999999999E-3</v>
      </c>
      <c r="F47" s="4">
        <v>0.13320000000000001</v>
      </c>
      <c r="G47" s="4">
        <v>9.7900000000000001E-2</v>
      </c>
      <c r="H47" s="4">
        <v>0.11600000000000001</v>
      </c>
      <c r="I47" s="4">
        <v>1.06E-2</v>
      </c>
      <c r="J47" s="4">
        <v>0.1144</v>
      </c>
      <c r="K47" s="4">
        <v>-2.7900000000000001E-2</v>
      </c>
      <c r="L47" s="4">
        <v>-7.0099999999999996E-2</v>
      </c>
      <c r="M47" s="4">
        <v>0.18679999999999999</v>
      </c>
      <c r="N47" s="4">
        <v>-0.31979999999999997</v>
      </c>
      <c r="O47" s="4">
        <v>0.10943333333333299</v>
      </c>
      <c r="P47" s="4">
        <v>2.8400000000000002E-2</v>
      </c>
      <c r="Q47" s="4">
        <v>9.0300000000000005E-2</v>
      </c>
    </row>
    <row r="48" spans="1:17" x14ac:dyDescent="0.3">
      <c r="A48" s="177"/>
      <c r="B48" s="4">
        <v>0.14460000000000001</v>
      </c>
      <c r="C48" s="4">
        <v>1.0672999999999999</v>
      </c>
      <c r="D48" s="4">
        <v>0.2175</v>
      </c>
      <c r="E48" s="4">
        <v>0.38419999999999999</v>
      </c>
      <c r="F48" s="4">
        <v>0.2752</v>
      </c>
      <c r="G48" s="4">
        <v>3.1199999999999999E-2</v>
      </c>
      <c r="H48" s="4">
        <v>0.12139999999999999</v>
      </c>
      <c r="I48" s="4">
        <v>7.2499999999999995E-2</v>
      </c>
      <c r="J48" s="4">
        <v>0.19789999999999999</v>
      </c>
      <c r="K48" s="4">
        <v>5.6000000000000001E-2</v>
      </c>
      <c r="L48" s="4">
        <v>1.4999999999999999E-2</v>
      </c>
      <c r="M48" s="4">
        <v>0.29339999999999999</v>
      </c>
      <c r="N48" s="4">
        <v>-4.1700000000000001E-2</v>
      </c>
      <c r="O48" s="4">
        <v>0.116833333333333</v>
      </c>
      <c r="P48" s="4">
        <v>0.35749999999999998</v>
      </c>
      <c r="Q48" s="4">
        <v>0.27406666666666701</v>
      </c>
    </row>
    <row r="49" spans="1:17" x14ac:dyDescent="0.3">
      <c r="A49" s="178"/>
      <c r="B49" s="4">
        <v>-4.7600000000000003E-2</v>
      </c>
      <c r="C49" s="4">
        <v>2.6800000000000001E-2</v>
      </c>
      <c r="D49" s="4">
        <v>0.28989999999999999</v>
      </c>
      <c r="E49" s="4">
        <v>0.15740000000000001</v>
      </c>
      <c r="F49" s="4">
        <v>0.31480000000000002</v>
      </c>
      <c r="G49" s="4">
        <v>0.17280000000000001</v>
      </c>
      <c r="H49" s="4">
        <v>9.9699999999999997E-2</v>
      </c>
      <c r="I49" s="4">
        <v>0.27410000000000001</v>
      </c>
      <c r="J49" s="4">
        <v>9.7900000000000001E-2</v>
      </c>
      <c r="K49" s="4">
        <v>0.11849999999999999</v>
      </c>
      <c r="L49" s="4">
        <v>4.2599999999999999E-2</v>
      </c>
      <c r="M49" s="4">
        <v>0.23499999999999999</v>
      </c>
      <c r="N49" s="4">
        <v>6.5199999999999994E-2</v>
      </c>
      <c r="O49" s="4">
        <v>0.123466666666667</v>
      </c>
      <c r="P49" s="4">
        <v>0.164575</v>
      </c>
      <c r="Q49" s="4">
        <v>0.114933333333333</v>
      </c>
    </row>
    <row r="50" spans="1:17" x14ac:dyDescent="0.3">
      <c r="A50" s="176">
        <v>2021</v>
      </c>
      <c r="B50" s="4">
        <v>9.9000000000000008E-3</v>
      </c>
      <c r="C50" s="4">
        <v>-0.19209999999999999</v>
      </c>
      <c r="D50" s="4">
        <v>9.2799999999999994E-2</v>
      </c>
      <c r="E50" s="4">
        <v>8.8300000000000003E-2</v>
      </c>
      <c r="F50" s="4">
        <v>3.0099999999999998E-2</v>
      </c>
      <c r="G50" s="4">
        <v>-3.7900000000000003E-2</v>
      </c>
      <c r="H50" s="4">
        <v>-9.3200000000000005E-2</v>
      </c>
      <c r="I50" s="4">
        <v>-5.3400000000000003E-2</v>
      </c>
      <c r="J50" s="4">
        <v>-6.59E-2</v>
      </c>
      <c r="K50" s="4">
        <v>-7.4700000000000003E-2</v>
      </c>
      <c r="L50" s="4">
        <v>-9.7100000000000006E-2</v>
      </c>
      <c r="M50" s="4">
        <v>-4.1000000000000003E-3</v>
      </c>
      <c r="N50" s="4">
        <v>-0.13819999999999999</v>
      </c>
      <c r="O50" s="4">
        <v>-6.5666666666666706E-2</v>
      </c>
      <c r="P50" s="4">
        <v>-7.8125E-2</v>
      </c>
      <c r="Q50" s="4">
        <v>3.1366666666666702E-2</v>
      </c>
    </row>
    <row r="51" spans="1:17" x14ac:dyDescent="0.3">
      <c r="A51" s="177"/>
      <c r="B51" s="4">
        <v>0.18079999999999999</v>
      </c>
      <c r="C51" s="4">
        <v>-0.17330000000000001</v>
      </c>
      <c r="D51" s="4">
        <v>0.16950000000000001</v>
      </c>
      <c r="E51" s="4">
        <v>0.13420000000000001</v>
      </c>
      <c r="F51" s="4">
        <v>0.1239</v>
      </c>
      <c r="G51" s="4">
        <v>5.0700000000000002E-2</v>
      </c>
      <c r="H51" s="4">
        <v>0.23949999999999999</v>
      </c>
      <c r="I51" s="4">
        <v>-5.5300000000000002E-2</v>
      </c>
      <c r="J51" s="4">
        <v>0.1933</v>
      </c>
      <c r="K51" s="4">
        <v>5.21E-2</v>
      </c>
      <c r="L51" s="4">
        <v>-6.3899999999999998E-2</v>
      </c>
      <c r="M51" s="4">
        <v>0.21490000000000001</v>
      </c>
      <c r="N51" s="4">
        <v>-1.4800000000000001E-2</v>
      </c>
      <c r="O51" s="4">
        <v>0.16116666666666701</v>
      </c>
      <c r="P51" s="4">
        <v>-4.215E-2</v>
      </c>
      <c r="Q51" s="4">
        <v>0.176633333333333</v>
      </c>
    </row>
    <row r="52" spans="1:17" x14ac:dyDescent="0.3">
      <c r="A52" s="177"/>
      <c r="B52" s="4">
        <v>0.60189999999999999</v>
      </c>
      <c r="C52" s="4">
        <v>0.1137</v>
      </c>
      <c r="D52" s="4">
        <v>0.41710000000000003</v>
      </c>
      <c r="E52" s="4">
        <v>0.3377</v>
      </c>
      <c r="F52" s="4">
        <v>0.4556</v>
      </c>
      <c r="G52" s="4">
        <v>0.3755</v>
      </c>
      <c r="H52" s="4">
        <v>0.64859999999999995</v>
      </c>
      <c r="I52" s="4">
        <v>0.67300000000000004</v>
      </c>
      <c r="J52" s="4">
        <v>0.41089999999999999</v>
      </c>
      <c r="K52" s="4">
        <v>0.29630000000000001</v>
      </c>
      <c r="L52" s="4">
        <v>0.49859999999999999</v>
      </c>
      <c r="M52" s="4">
        <v>0.53410000000000002</v>
      </c>
      <c r="N52" s="4">
        <v>0.67469999999999997</v>
      </c>
      <c r="O52" s="4">
        <v>0.478333333333333</v>
      </c>
      <c r="P52" s="4">
        <v>0.43522499999999997</v>
      </c>
      <c r="Q52" s="4">
        <v>0.49123333333333302</v>
      </c>
    </row>
    <row r="53" spans="1:17" x14ac:dyDescent="0.3">
      <c r="A53" s="177"/>
      <c r="B53" s="4">
        <v>2.4590999999999998</v>
      </c>
      <c r="C53" s="4">
        <v>3.1095000000000002</v>
      </c>
      <c r="D53" s="4">
        <v>2.0971000000000002</v>
      </c>
      <c r="E53" s="4">
        <v>1.4696</v>
      </c>
      <c r="F53" s="4">
        <v>2.7616999999999998</v>
      </c>
      <c r="G53" s="4">
        <v>1.1948000000000001</v>
      </c>
      <c r="H53" s="4">
        <v>4.1237000000000004</v>
      </c>
      <c r="I53" s="4">
        <v>2.9727999999999999</v>
      </c>
      <c r="J53" s="4">
        <v>1.958</v>
      </c>
      <c r="K53" s="4">
        <v>1.7143999999999999</v>
      </c>
      <c r="L53" s="4">
        <v>2.8176999999999999</v>
      </c>
      <c r="M53" s="4">
        <v>2.2959999999999998</v>
      </c>
      <c r="N53" s="4">
        <v>2.2225000000000001</v>
      </c>
      <c r="O53" s="4">
        <v>2.4255</v>
      </c>
      <c r="P53" s="4">
        <v>2.9154249999999999</v>
      </c>
      <c r="Q53" s="4">
        <v>2.0749</v>
      </c>
    </row>
    <row r="54" spans="1:17" x14ac:dyDescent="0.3">
      <c r="A54" s="177"/>
      <c r="B54" s="4">
        <v>2.6705999999999999</v>
      </c>
      <c r="C54" s="4">
        <v>1.9166000000000001</v>
      </c>
      <c r="D54" s="4">
        <v>2.0714000000000001</v>
      </c>
      <c r="E54" s="4">
        <v>1.4601</v>
      </c>
      <c r="F54" s="4">
        <v>1.9045000000000001</v>
      </c>
      <c r="G54" s="4">
        <v>1.3923000000000001</v>
      </c>
      <c r="H54" s="4">
        <v>3.2395</v>
      </c>
      <c r="I54" s="4">
        <v>1.6927000000000001</v>
      </c>
      <c r="J54" s="4">
        <v>1.5095000000000001</v>
      </c>
      <c r="K54" s="4">
        <v>1.9105000000000001</v>
      </c>
      <c r="L54" s="4">
        <v>2.1492</v>
      </c>
      <c r="M54" s="4">
        <v>2.0611999999999999</v>
      </c>
      <c r="N54" s="4">
        <v>1.9359</v>
      </c>
      <c r="O54" s="4">
        <v>2.0470999999999999</v>
      </c>
      <c r="P54" s="4">
        <v>1.9157500000000001</v>
      </c>
      <c r="Q54" s="4">
        <v>2.0639666666666701</v>
      </c>
    </row>
    <row r="55" spans="1:17" x14ac:dyDescent="0.3">
      <c r="A55" s="177"/>
      <c r="B55" s="4">
        <v>1.865</v>
      </c>
      <c r="C55" s="4">
        <v>0.77859999999999996</v>
      </c>
      <c r="D55" s="4">
        <v>1.3312999999999999</v>
      </c>
      <c r="E55" s="4">
        <v>0.94420000000000004</v>
      </c>
      <c r="F55" s="4">
        <v>1.1628000000000001</v>
      </c>
      <c r="G55" s="4">
        <v>0.85399999999999998</v>
      </c>
      <c r="H55" s="4">
        <v>1.0999000000000001</v>
      </c>
      <c r="I55" s="4">
        <v>1.1100000000000001</v>
      </c>
      <c r="J55" s="4">
        <v>1.1684000000000001</v>
      </c>
      <c r="K55" s="4">
        <v>1.1145</v>
      </c>
      <c r="L55" s="4">
        <v>0.91679999999999995</v>
      </c>
      <c r="M55" s="4">
        <v>1.2216</v>
      </c>
      <c r="N55" s="4">
        <v>0.87670000000000003</v>
      </c>
      <c r="O55" s="4">
        <v>1.0407666666666699</v>
      </c>
      <c r="P55" s="4">
        <v>0.99204999999999999</v>
      </c>
      <c r="Q55" s="4">
        <v>1.3435999999999999</v>
      </c>
    </row>
    <row r="56" spans="1:17" x14ac:dyDescent="0.3">
      <c r="A56" s="177"/>
      <c r="B56" s="4">
        <v>1.2907999999999999</v>
      </c>
      <c r="C56" s="4">
        <v>0.26</v>
      </c>
      <c r="D56" s="4">
        <v>0.79330000000000001</v>
      </c>
      <c r="E56" s="4">
        <v>0.88829999999999998</v>
      </c>
      <c r="F56" s="4">
        <v>0.66120000000000001</v>
      </c>
      <c r="G56" s="4">
        <v>0.62180000000000002</v>
      </c>
      <c r="H56" s="4">
        <v>0.93110000000000004</v>
      </c>
      <c r="I56" s="4">
        <v>0.55379999999999996</v>
      </c>
      <c r="J56" s="4">
        <v>0.65559999999999996</v>
      </c>
      <c r="K56" s="4">
        <v>0.6915</v>
      </c>
      <c r="L56" s="4">
        <v>0.45979999999999999</v>
      </c>
      <c r="M56" s="4">
        <v>0.65</v>
      </c>
      <c r="N56" s="4">
        <v>0.50449999999999995</v>
      </c>
      <c r="O56" s="4">
        <v>0.73616666666666697</v>
      </c>
      <c r="P56" s="4">
        <v>0.48370000000000002</v>
      </c>
      <c r="Q56" s="4">
        <v>0.94303333333333295</v>
      </c>
    </row>
    <row r="57" spans="1:17" x14ac:dyDescent="0.3">
      <c r="A57" s="177"/>
      <c r="B57" s="4">
        <v>1.0833999999999999</v>
      </c>
      <c r="C57" s="4">
        <v>0.59940000000000004</v>
      </c>
      <c r="D57" s="4">
        <v>0.61439999999999995</v>
      </c>
      <c r="E57" s="4">
        <v>0.88049999999999995</v>
      </c>
      <c r="F57" s="4">
        <v>0.71299999999999997</v>
      </c>
      <c r="G57" s="4">
        <v>0.75449999999999995</v>
      </c>
      <c r="H57" s="4">
        <v>0.66300000000000003</v>
      </c>
      <c r="I57" s="4">
        <v>0.47689999999999999</v>
      </c>
      <c r="J57" s="4">
        <v>0.40860000000000002</v>
      </c>
      <c r="K57" s="4">
        <v>0.69479999999999997</v>
      </c>
      <c r="L57" s="4">
        <v>0.3226</v>
      </c>
      <c r="M57" s="4">
        <v>0.71399999999999997</v>
      </c>
      <c r="N57" s="4">
        <v>0.37019999999999997</v>
      </c>
      <c r="O57" s="4">
        <v>0.60870000000000002</v>
      </c>
      <c r="P57" s="4">
        <v>0.52797499999999997</v>
      </c>
      <c r="Q57" s="4">
        <v>0.89263333333333295</v>
      </c>
    </row>
    <row r="58" spans="1:17" x14ac:dyDescent="0.3">
      <c r="A58" s="177"/>
      <c r="B58" s="4">
        <v>0.82320000000000004</v>
      </c>
      <c r="C58" s="4">
        <v>0.28949999999999998</v>
      </c>
      <c r="D58" s="4">
        <v>0.44069999999999998</v>
      </c>
      <c r="E58" s="4">
        <v>0.53820000000000001</v>
      </c>
      <c r="F58" s="4">
        <v>0.5212</v>
      </c>
      <c r="G58" s="4">
        <v>0.92879999999999996</v>
      </c>
      <c r="H58" s="4">
        <v>0.2351</v>
      </c>
      <c r="I58" s="4">
        <v>0.41299999999999998</v>
      </c>
      <c r="J58" s="4">
        <v>0.19270000000000001</v>
      </c>
      <c r="K58" s="4">
        <v>0.56810000000000005</v>
      </c>
      <c r="L58" s="4">
        <v>0.26929999999999998</v>
      </c>
      <c r="M58" s="4">
        <v>0.59360000000000002</v>
      </c>
      <c r="N58" s="4">
        <v>0.55300000000000005</v>
      </c>
      <c r="O58" s="4">
        <v>0.45219999999999999</v>
      </c>
      <c r="P58" s="4">
        <v>0.37325000000000003</v>
      </c>
      <c r="Q58" s="4">
        <v>0.65166666666666695</v>
      </c>
    </row>
    <row r="59" spans="1:17" x14ac:dyDescent="0.3">
      <c r="A59" s="177"/>
      <c r="B59" s="4">
        <v>0.4945</v>
      </c>
      <c r="C59" s="4">
        <v>0.32979999999999998</v>
      </c>
      <c r="D59" s="4">
        <v>0.3004</v>
      </c>
      <c r="E59" s="4">
        <v>0.3372</v>
      </c>
      <c r="F59" s="4">
        <v>0.28010000000000002</v>
      </c>
      <c r="G59" s="4">
        <v>0.35149999999999998</v>
      </c>
      <c r="H59" s="4">
        <v>2.2599999999999999E-2</v>
      </c>
      <c r="I59" s="4">
        <v>0.3755</v>
      </c>
      <c r="J59" s="4">
        <v>0.25290000000000001</v>
      </c>
      <c r="K59" s="4">
        <v>0.38340000000000002</v>
      </c>
      <c r="L59" s="4">
        <v>0.19889999999999999</v>
      </c>
      <c r="M59" s="4">
        <v>0.34570000000000001</v>
      </c>
      <c r="N59" s="4">
        <v>0.37109999999999999</v>
      </c>
      <c r="O59" s="4">
        <v>0.20899999999999999</v>
      </c>
      <c r="P59" s="4">
        <v>0.29607499999999998</v>
      </c>
      <c r="Q59" s="4">
        <v>0.39246666666666702</v>
      </c>
    </row>
    <row r="60" spans="1:17" x14ac:dyDescent="0.3">
      <c r="A60" s="177"/>
      <c r="B60" s="4">
        <v>0.56279999999999997</v>
      </c>
      <c r="C60" s="4">
        <v>0.2336</v>
      </c>
      <c r="D60" s="4">
        <v>0.2681</v>
      </c>
      <c r="E60" s="4">
        <v>0.25590000000000002</v>
      </c>
      <c r="F60" s="4">
        <v>0.37569999999999998</v>
      </c>
      <c r="G60" s="4">
        <v>0.50649999999999995</v>
      </c>
      <c r="H60" s="4">
        <v>0.314</v>
      </c>
      <c r="I60" s="4">
        <v>0.34289999999999998</v>
      </c>
      <c r="J60" s="4">
        <v>0.33989999999999998</v>
      </c>
      <c r="K60" s="4">
        <v>0.45789999999999997</v>
      </c>
      <c r="L60" s="4">
        <v>0.26419999999999999</v>
      </c>
      <c r="M60" s="4">
        <v>0.38379999999999997</v>
      </c>
      <c r="N60" s="4">
        <v>0.50960000000000005</v>
      </c>
      <c r="O60" s="4">
        <v>0.38679999999999998</v>
      </c>
      <c r="P60" s="4">
        <v>0.30409999999999998</v>
      </c>
      <c r="Q60" s="4">
        <v>0.40083333333333299</v>
      </c>
    </row>
    <row r="61" spans="1:17" x14ac:dyDescent="0.3">
      <c r="A61" s="178"/>
      <c r="B61" s="4">
        <v>0.65690000000000004</v>
      </c>
      <c r="C61" s="4">
        <v>4.4400000000000002E-2</v>
      </c>
      <c r="D61" s="4">
        <v>0.21340000000000001</v>
      </c>
      <c r="E61" s="4">
        <v>0.32800000000000001</v>
      </c>
      <c r="F61" s="4">
        <v>0.29220000000000002</v>
      </c>
      <c r="G61" s="4">
        <v>0.28170000000000001</v>
      </c>
      <c r="H61" s="4">
        <v>0.22570000000000001</v>
      </c>
      <c r="I61" s="4">
        <v>0.23710000000000001</v>
      </c>
      <c r="J61" s="4">
        <v>0.43230000000000002</v>
      </c>
      <c r="K61" s="4">
        <v>0.36359999999999998</v>
      </c>
      <c r="L61" s="4">
        <v>0.1895</v>
      </c>
      <c r="M61" s="4">
        <v>0.43109999999999998</v>
      </c>
      <c r="N61" s="4">
        <v>0.40760000000000002</v>
      </c>
      <c r="O61" s="4">
        <v>0.31323333333333298</v>
      </c>
      <c r="P61" s="4">
        <v>0.1908</v>
      </c>
      <c r="Q61" s="4">
        <v>0.47199999999999998</v>
      </c>
    </row>
    <row r="62" spans="1:17" x14ac:dyDescent="0.3">
      <c r="A62" s="176">
        <v>2022</v>
      </c>
      <c r="B62" s="4">
        <v>0.41420000000000001</v>
      </c>
      <c r="C62" s="4">
        <v>0.2208</v>
      </c>
      <c r="D62" s="4">
        <v>0.16320000000000001</v>
      </c>
      <c r="E62" s="4">
        <v>0.23769999999999999</v>
      </c>
      <c r="F62" s="4">
        <v>0.40489999999999998</v>
      </c>
      <c r="G62" s="4">
        <v>0.4556</v>
      </c>
      <c r="H62" s="4">
        <v>0.34789999999999999</v>
      </c>
      <c r="I62" s="4">
        <v>0.26669999999999999</v>
      </c>
      <c r="J62" s="4">
        <v>0.45100000000000001</v>
      </c>
      <c r="K62" s="4">
        <v>0.41049999999999998</v>
      </c>
      <c r="L62" s="4">
        <v>0.21879999999999999</v>
      </c>
      <c r="M62" s="4">
        <v>0.3619</v>
      </c>
      <c r="N62" s="4">
        <v>0.35680000000000001</v>
      </c>
      <c r="O62" s="4">
        <v>0.41816666666666702</v>
      </c>
      <c r="P62" s="4">
        <v>0.27779999999999999</v>
      </c>
      <c r="Q62" s="4">
        <v>0.33793333333333297</v>
      </c>
    </row>
    <row r="63" spans="1:17" x14ac:dyDescent="0.3">
      <c r="A63" s="177"/>
      <c r="B63" s="4">
        <v>0.3982</v>
      </c>
      <c r="C63" s="4">
        <v>0.2641</v>
      </c>
      <c r="D63" s="4">
        <v>0.1981</v>
      </c>
      <c r="E63" s="4">
        <v>0.18709999999999999</v>
      </c>
      <c r="F63" s="4">
        <v>0.34189999999999998</v>
      </c>
      <c r="G63" s="4">
        <v>0.2079</v>
      </c>
      <c r="H63" s="4">
        <v>0.15939999999999999</v>
      </c>
      <c r="I63" s="4">
        <v>0.51919999999999999</v>
      </c>
      <c r="J63" s="4">
        <v>0.22450000000000001</v>
      </c>
      <c r="K63" s="4">
        <v>0.26369999999999999</v>
      </c>
      <c r="L63" s="4">
        <v>0.23680000000000001</v>
      </c>
      <c r="M63" s="4">
        <v>0.51980000000000004</v>
      </c>
      <c r="N63" s="4">
        <v>0.40129999999999999</v>
      </c>
      <c r="O63" s="4">
        <v>0.19726666666666701</v>
      </c>
      <c r="P63" s="4">
        <v>0.34050000000000002</v>
      </c>
      <c r="Q63" s="4">
        <v>0.36836666666666701</v>
      </c>
    </row>
    <row r="64" spans="1:17" x14ac:dyDescent="0.3">
      <c r="A64" s="177"/>
      <c r="B64" s="4">
        <v>0.29430000000000001</v>
      </c>
      <c r="C64" s="4">
        <v>0.24390000000000001</v>
      </c>
      <c r="D64" s="4">
        <v>9.9599999999999994E-2</v>
      </c>
      <c r="E64" s="4">
        <v>0.33110000000000001</v>
      </c>
      <c r="F64" s="4">
        <v>0.21929999999999999</v>
      </c>
      <c r="G64" s="4">
        <v>0.24279999999999999</v>
      </c>
      <c r="H64" s="4">
        <v>0.27300000000000002</v>
      </c>
      <c r="I64" s="4">
        <v>0.26340000000000002</v>
      </c>
      <c r="J64" s="4">
        <v>0.35770000000000002</v>
      </c>
      <c r="K64" s="4">
        <v>0.24740000000000001</v>
      </c>
      <c r="L64" s="4">
        <v>0.1739</v>
      </c>
      <c r="M64" s="4">
        <v>0.16650000000000001</v>
      </c>
      <c r="N64" s="4">
        <v>0.24690000000000001</v>
      </c>
      <c r="O64" s="4">
        <v>0.29116666666666702</v>
      </c>
      <c r="P64" s="4">
        <v>0.22512499999999999</v>
      </c>
      <c r="Q64" s="4">
        <v>0.26396666666666702</v>
      </c>
    </row>
    <row r="65" spans="1:17" x14ac:dyDescent="0.3">
      <c r="A65" s="177"/>
      <c r="B65" s="4">
        <v>0.26950000000000002</v>
      </c>
      <c r="C65" s="4">
        <v>0.182</v>
      </c>
      <c r="D65" s="4">
        <v>0.1094</v>
      </c>
      <c r="E65" s="4">
        <v>0.23100000000000001</v>
      </c>
      <c r="F65" s="4">
        <v>0.13239999999999999</v>
      </c>
      <c r="G65" s="4">
        <v>0.20630000000000001</v>
      </c>
      <c r="H65" s="4">
        <v>0.32529999999999998</v>
      </c>
      <c r="I65" s="4">
        <v>0.40770000000000001</v>
      </c>
      <c r="J65" s="4">
        <v>0.23530000000000001</v>
      </c>
      <c r="K65" s="4">
        <v>0.16539999999999999</v>
      </c>
      <c r="L65" s="4">
        <v>0.1492</v>
      </c>
      <c r="M65" s="4">
        <v>0.13700000000000001</v>
      </c>
      <c r="N65" s="4">
        <v>0.28749999999999998</v>
      </c>
      <c r="O65" s="4">
        <v>0.25563333333333299</v>
      </c>
      <c r="P65" s="4">
        <v>0.21782499999999999</v>
      </c>
      <c r="Q65" s="4">
        <v>0.21249999999999999</v>
      </c>
    </row>
    <row r="66" spans="1:17" x14ac:dyDescent="0.3">
      <c r="A66" s="177"/>
      <c r="B66" s="4">
        <v>0.23430000000000001</v>
      </c>
      <c r="C66" s="4">
        <v>5.8599999999999999E-2</v>
      </c>
      <c r="D66" s="4">
        <v>9.3899999999999997E-2</v>
      </c>
      <c r="E66" s="4">
        <v>0.27710000000000001</v>
      </c>
      <c r="F66" s="4">
        <v>0.17330000000000001</v>
      </c>
      <c r="G66" s="4">
        <v>0.1777</v>
      </c>
      <c r="H66" s="4">
        <v>0.16089999999999999</v>
      </c>
      <c r="I66" s="4">
        <v>0.3135</v>
      </c>
      <c r="J66" s="4">
        <v>0.2346</v>
      </c>
      <c r="K66" s="4">
        <v>0.19359999999999999</v>
      </c>
      <c r="L66" s="4">
        <v>0.19220000000000001</v>
      </c>
      <c r="M66" s="4">
        <v>0.29849999999999999</v>
      </c>
      <c r="N66" s="4">
        <v>0.37409999999999999</v>
      </c>
      <c r="O66" s="4">
        <v>0.191066666666667</v>
      </c>
      <c r="P66" s="4">
        <v>0.18440000000000001</v>
      </c>
      <c r="Q66" s="4">
        <v>0.26996666666666702</v>
      </c>
    </row>
    <row r="67" spans="1:17" x14ac:dyDescent="0.3">
      <c r="A67" s="177"/>
      <c r="B67" s="4">
        <v>0.10970000000000001</v>
      </c>
      <c r="C67" s="4">
        <v>0.2112</v>
      </c>
      <c r="D67" s="4">
        <v>2.52E-2</v>
      </c>
      <c r="E67" s="4">
        <v>0.18579999999999999</v>
      </c>
      <c r="F67" s="4">
        <v>0.14660000000000001</v>
      </c>
      <c r="G67" s="4">
        <v>0.13400000000000001</v>
      </c>
      <c r="H67" s="4">
        <v>9.5500000000000002E-2</v>
      </c>
      <c r="I67" s="4">
        <v>3.4299999999999997E-2</v>
      </c>
      <c r="J67" s="4">
        <v>0.311</v>
      </c>
      <c r="K67" s="4">
        <v>0.1268</v>
      </c>
      <c r="L67" s="4">
        <v>0.29430000000000001</v>
      </c>
      <c r="M67" s="4">
        <v>0.12559999999999999</v>
      </c>
      <c r="N67" s="4">
        <v>0.30549999999999999</v>
      </c>
      <c r="O67" s="4">
        <v>0.180166666666667</v>
      </c>
      <c r="P67" s="4">
        <v>0.1716</v>
      </c>
      <c r="Q67" s="4">
        <v>0.140366666666667</v>
      </c>
    </row>
    <row r="68" spans="1:17" x14ac:dyDescent="0.3">
      <c r="A68" s="177"/>
      <c r="B68" s="4">
        <v>0.13220000000000001</v>
      </c>
      <c r="C68" s="4">
        <v>0.1179</v>
      </c>
      <c r="D68" s="4">
        <v>-2.76E-2</v>
      </c>
      <c r="E68" s="4">
        <v>8.3099999999999993E-2</v>
      </c>
      <c r="F68" s="4">
        <v>4.7500000000000001E-2</v>
      </c>
      <c r="G68" s="4">
        <v>0.1361</v>
      </c>
      <c r="H68" s="4">
        <v>7.3499999999999996E-2</v>
      </c>
      <c r="I68" s="4">
        <v>8.8700000000000001E-2</v>
      </c>
      <c r="J68" s="4">
        <v>8.9899999999999994E-2</v>
      </c>
      <c r="K68" s="4">
        <v>6.9099999999999995E-2</v>
      </c>
      <c r="L68" s="4">
        <v>0.1968</v>
      </c>
      <c r="M68" s="4">
        <v>9.7600000000000006E-2</v>
      </c>
      <c r="N68" s="4">
        <v>0.22700000000000001</v>
      </c>
      <c r="O68" s="4">
        <v>9.9833333333333302E-2</v>
      </c>
      <c r="P68" s="4">
        <v>0.11272500000000001</v>
      </c>
      <c r="Q68" s="4">
        <v>0.1043</v>
      </c>
    </row>
    <row r="69" spans="1:17" x14ac:dyDescent="0.3">
      <c r="A69" s="177"/>
      <c r="B69" s="4">
        <v>0.15010000000000001</v>
      </c>
      <c r="C69" s="4">
        <v>0.32219999999999999</v>
      </c>
      <c r="D69" s="4">
        <v>6.6E-3</v>
      </c>
      <c r="E69" s="4">
        <v>9.2200000000000004E-2</v>
      </c>
      <c r="F69" s="4">
        <v>0.13189999999999999</v>
      </c>
      <c r="G69" s="4">
        <v>3.3300000000000003E-2</v>
      </c>
      <c r="H69" s="4">
        <v>0.12809999999999999</v>
      </c>
      <c r="I69" s="4">
        <v>0.13789999999999999</v>
      </c>
      <c r="J69" s="4">
        <v>0.28149999999999997</v>
      </c>
      <c r="K69" s="4">
        <v>8.9300000000000004E-2</v>
      </c>
      <c r="L69" s="4">
        <v>0.29199999999999998</v>
      </c>
      <c r="M69" s="4">
        <v>0.1283</v>
      </c>
      <c r="N69" s="4">
        <v>0.40710000000000002</v>
      </c>
      <c r="O69" s="4">
        <v>0.14763333333333301</v>
      </c>
      <c r="P69" s="4">
        <v>0.221</v>
      </c>
      <c r="Q69" s="4">
        <v>0.123533333333333</v>
      </c>
    </row>
    <row r="70" spans="1:17" x14ac:dyDescent="0.3">
      <c r="A70" s="177"/>
      <c r="B70" s="4">
        <v>-1.8E-3</v>
      </c>
      <c r="C70" s="4">
        <v>0.1103</v>
      </c>
      <c r="D70" s="4">
        <v>-7.1300000000000002E-2</v>
      </c>
      <c r="E70" s="4">
        <v>-4.2900000000000001E-2</v>
      </c>
      <c r="F70" s="4">
        <v>3.49E-2</v>
      </c>
      <c r="G70" s="4">
        <v>-0.19170000000000001</v>
      </c>
      <c r="H70" s="4">
        <v>0.18890000000000001</v>
      </c>
      <c r="I70" s="4">
        <v>8.1900000000000001E-2</v>
      </c>
      <c r="J70" s="4">
        <v>0.16450000000000001</v>
      </c>
      <c r="K70" s="4">
        <v>-5.28E-2</v>
      </c>
      <c r="L70" s="4">
        <v>0.1542</v>
      </c>
      <c r="M70" s="4">
        <v>-8.3000000000000001E-3</v>
      </c>
      <c r="N70" s="4">
        <v>0.21310000000000001</v>
      </c>
      <c r="O70" s="4">
        <v>5.3900000000000003E-2</v>
      </c>
      <c r="P70" s="4">
        <v>9.5324999999999993E-2</v>
      </c>
      <c r="Q70" s="4">
        <v>-1.7666666666666699E-2</v>
      </c>
    </row>
    <row r="71" spans="1:17" x14ac:dyDescent="0.3">
      <c r="A71" s="177"/>
      <c r="B71" s="4">
        <v>-2.29E-2</v>
      </c>
      <c r="C71" s="4">
        <v>-6.1600000000000002E-2</v>
      </c>
      <c r="D71" s="4">
        <v>-0.12720000000000001</v>
      </c>
      <c r="E71" s="4">
        <v>-4.0899999999999999E-2</v>
      </c>
      <c r="F71" s="4">
        <v>3.0499999999999999E-2</v>
      </c>
      <c r="G71" s="4">
        <v>-6.1199999999999997E-2</v>
      </c>
      <c r="H71" s="4">
        <v>0.11600000000000001</v>
      </c>
      <c r="I71" s="4">
        <v>-0.01</v>
      </c>
      <c r="J71" s="4">
        <v>5.74E-2</v>
      </c>
      <c r="K71" s="4">
        <v>-2.64E-2</v>
      </c>
      <c r="L71" s="4">
        <v>4.99E-2</v>
      </c>
      <c r="M71" s="4">
        <v>2.3900000000000001E-2</v>
      </c>
      <c r="N71" s="4">
        <v>0.28899999999999998</v>
      </c>
      <c r="O71" s="4">
        <v>3.7400000000000003E-2</v>
      </c>
      <c r="P71" s="4">
        <v>2.2000000000000001E-3</v>
      </c>
      <c r="Q71" s="4">
        <v>-1.3299999999999999E-2</v>
      </c>
    </row>
    <row r="72" spans="1:17" x14ac:dyDescent="0.3">
      <c r="A72" s="177"/>
      <c r="B72" s="4">
        <v>-0.121</v>
      </c>
      <c r="C72" s="4">
        <v>-0.21290000000000001</v>
      </c>
      <c r="D72" s="4">
        <v>-0.17030000000000001</v>
      </c>
      <c r="E72" s="4">
        <v>-6.0499999999999998E-2</v>
      </c>
      <c r="F72" s="4">
        <v>-4.6100000000000002E-2</v>
      </c>
      <c r="G72" s="4">
        <v>-0.13600000000000001</v>
      </c>
      <c r="H72" s="4">
        <v>-0.1203</v>
      </c>
      <c r="I72" s="4">
        <v>1.04E-2</v>
      </c>
      <c r="J72" s="4">
        <v>3.0200000000000001E-2</v>
      </c>
      <c r="K72" s="4">
        <v>-0.14050000000000001</v>
      </c>
      <c r="L72" s="4">
        <v>-2.4500000000000001E-2</v>
      </c>
      <c r="M72" s="4">
        <v>-0.1207</v>
      </c>
      <c r="N72" s="4">
        <v>-1.6000000000000001E-3</v>
      </c>
      <c r="O72" s="4">
        <v>-7.5366666666666707E-2</v>
      </c>
      <c r="P72" s="4">
        <v>-6.8275000000000002E-2</v>
      </c>
      <c r="Q72" s="4">
        <v>-0.10073333333333299</v>
      </c>
    </row>
    <row r="73" spans="1:17" x14ac:dyDescent="0.3">
      <c r="A73" s="178"/>
      <c r="B73" s="4">
        <v>-0.25159999999999999</v>
      </c>
      <c r="C73" s="4">
        <v>-1.04E-2</v>
      </c>
      <c r="D73" s="4">
        <v>-0.19739999999999999</v>
      </c>
      <c r="E73" s="4">
        <v>-6.7699999999999996E-2</v>
      </c>
      <c r="F73" s="4">
        <v>-0.1106</v>
      </c>
      <c r="G73" s="4">
        <v>-0.25019999999999998</v>
      </c>
      <c r="H73" s="4">
        <v>-3.1399999999999997E-2</v>
      </c>
      <c r="I73" s="4">
        <v>-0.1057</v>
      </c>
      <c r="J73" s="4">
        <v>-4.8000000000000001E-2</v>
      </c>
      <c r="K73" s="4">
        <v>-0.14299999999999999</v>
      </c>
      <c r="L73" s="4">
        <v>-6.4500000000000002E-2</v>
      </c>
      <c r="M73" s="4">
        <v>-0.1794</v>
      </c>
      <c r="N73" s="4">
        <v>-6.2E-2</v>
      </c>
      <c r="O73" s="4">
        <v>-0.109866666666667</v>
      </c>
      <c r="P73" s="4">
        <v>-7.2800000000000004E-2</v>
      </c>
      <c r="Q73" s="4">
        <v>-0.16623333333333301</v>
      </c>
    </row>
    <row r="74" spans="1:17" x14ac:dyDescent="0.3">
      <c r="A74" s="176">
        <v>2023</v>
      </c>
      <c r="B74" s="4">
        <v>-0.14019999999999999</v>
      </c>
      <c r="C74" s="4">
        <v>-0.1202</v>
      </c>
      <c r="D74" s="4">
        <v>-9.6100000000000005E-2</v>
      </c>
      <c r="E74" s="4">
        <v>-3.1199999999999999E-2</v>
      </c>
      <c r="F74" s="4">
        <v>-0.1409</v>
      </c>
      <c r="G74" s="4">
        <v>-0.114</v>
      </c>
      <c r="H74" s="4">
        <v>-2.3699999999999999E-2</v>
      </c>
      <c r="I74" s="4">
        <v>-6.4299999999999996E-2</v>
      </c>
      <c r="J74" s="4">
        <v>-0.10780000000000001</v>
      </c>
      <c r="K74" s="4">
        <v>-8.1000000000000003E-2</v>
      </c>
      <c r="L74" s="4">
        <v>6.4799999999999996E-2</v>
      </c>
      <c r="M74" s="4">
        <v>-6.3299999999999995E-2</v>
      </c>
      <c r="N74" s="4">
        <v>0.1129</v>
      </c>
      <c r="O74" s="4">
        <v>-8.18333333333333E-2</v>
      </c>
      <c r="P74" s="4">
        <v>-6.515E-2</v>
      </c>
      <c r="Q74" s="4">
        <v>-7.8233333333333294E-2</v>
      </c>
    </row>
    <row r="75" spans="1:17" x14ac:dyDescent="0.3">
      <c r="A75" s="177"/>
      <c r="B75" s="4">
        <v>-0.2404</v>
      </c>
      <c r="C75" s="4">
        <v>-3.6200000000000003E-2</v>
      </c>
      <c r="D75" s="4">
        <v>-0.22570000000000001</v>
      </c>
      <c r="E75" s="4">
        <v>-9.2999999999999999E-2</v>
      </c>
      <c r="F75" s="4">
        <v>-0.15890000000000001</v>
      </c>
      <c r="G75" s="4">
        <v>-6.59E-2</v>
      </c>
      <c r="H75" s="4">
        <v>-0.129</v>
      </c>
      <c r="I75" s="4">
        <v>-0.21190000000000001</v>
      </c>
      <c r="J75" s="4">
        <v>-6.0000000000000001E-3</v>
      </c>
      <c r="K75" s="4">
        <v>-0.156</v>
      </c>
      <c r="L75" s="4">
        <v>-8.6199999999999999E-2</v>
      </c>
      <c r="M75" s="4">
        <v>-0.21340000000000001</v>
      </c>
      <c r="N75" s="4">
        <v>4.1000000000000003E-3</v>
      </c>
      <c r="O75" s="4">
        <v>-6.6966666666666702E-2</v>
      </c>
      <c r="P75" s="4">
        <v>-0.12330000000000001</v>
      </c>
      <c r="Q75" s="4">
        <v>-0.18226666666666699</v>
      </c>
    </row>
    <row r="76" spans="1:17" x14ac:dyDescent="0.3">
      <c r="A76" s="177"/>
      <c r="B76" s="4">
        <v>-0.17910000000000001</v>
      </c>
      <c r="C76" s="4">
        <v>-6.0499999999999998E-2</v>
      </c>
      <c r="D76" s="4">
        <v>-0.1079</v>
      </c>
      <c r="E76" s="4">
        <v>-0.1008</v>
      </c>
      <c r="F76" s="4">
        <v>-0.14349999999999999</v>
      </c>
      <c r="G76" s="4">
        <v>-0.19620000000000001</v>
      </c>
      <c r="H76" s="4">
        <v>-0.12820000000000001</v>
      </c>
      <c r="I76" s="4">
        <v>-0.11990000000000001</v>
      </c>
      <c r="J76" s="4">
        <v>-8.3599999999999994E-2</v>
      </c>
      <c r="K76" s="4">
        <v>-0.1883</v>
      </c>
      <c r="L76" s="4">
        <v>-9.4100000000000003E-2</v>
      </c>
      <c r="M76" s="4">
        <v>-4.24E-2</v>
      </c>
      <c r="N76" s="4">
        <v>5.1700000000000003E-2</v>
      </c>
      <c r="O76" s="4">
        <v>-0.13600000000000001</v>
      </c>
      <c r="P76" s="4">
        <v>-0.1045</v>
      </c>
      <c r="Q76" s="4">
        <v>-0.10743333333333301</v>
      </c>
    </row>
    <row r="77" spans="1:17" x14ac:dyDescent="0.3">
      <c r="A77" s="177"/>
      <c r="B77" s="4">
        <v>-0.26640000000000003</v>
      </c>
      <c r="C77" s="4">
        <v>-0.17910000000000001</v>
      </c>
      <c r="D77" s="4">
        <v>-0.18060000000000001</v>
      </c>
      <c r="E77" s="4">
        <v>-0.1845</v>
      </c>
      <c r="F77" s="4">
        <v>-0.22720000000000001</v>
      </c>
      <c r="G77" s="4">
        <v>-0.3266</v>
      </c>
      <c r="H77" s="4">
        <v>-0.314</v>
      </c>
      <c r="I77" s="4">
        <v>-0.17549999999999999</v>
      </c>
      <c r="J77" s="4">
        <v>-0.1497</v>
      </c>
      <c r="K77" s="4">
        <v>-0.23769999999999999</v>
      </c>
      <c r="L77" s="4">
        <v>-0.1197</v>
      </c>
      <c r="M77" s="4">
        <v>-0.1888</v>
      </c>
      <c r="N77" s="4">
        <v>2.86E-2</v>
      </c>
      <c r="O77" s="4">
        <v>-0.26343333333333302</v>
      </c>
      <c r="P77" s="4">
        <v>-0.175375</v>
      </c>
      <c r="Q77" s="4">
        <v>-0.213233333333333</v>
      </c>
    </row>
    <row r="78" spans="1:17" x14ac:dyDescent="0.3">
      <c r="A78" s="177"/>
      <c r="B78" s="4">
        <v>-0.2606</v>
      </c>
      <c r="C78" s="4">
        <v>-6.4299999999999996E-2</v>
      </c>
      <c r="D78" s="4">
        <v>-0.15049999999999999</v>
      </c>
      <c r="E78" s="4">
        <v>-0.14430000000000001</v>
      </c>
      <c r="F78" s="4">
        <v>-0.15260000000000001</v>
      </c>
      <c r="G78" s="4">
        <v>-0.24610000000000001</v>
      </c>
      <c r="H78" s="4">
        <v>-0.2344</v>
      </c>
      <c r="I78" s="4">
        <v>-2.8899999999999999E-2</v>
      </c>
      <c r="J78" s="4">
        <v>-9.2399999999999996E-2</v>
      </c>
      <c r="K78" s="4">
        <v>-0.17130000000000001</v>
      </c>
      <c r="L78" s="4">
        <v>-0.1114</v>
      </c>
      <c r="M78" s="4">
        <v>-0.20899999999999999</v>
      </c>
      <c r="N78" s="4">
        <v>-9.6799999999999997E-2</v>
      </c>
      <c r="O78" s="4">
        <v>-0.19096666666666701</v>
      </c>
      <c r="P78" s="4">
        <v>-8.9300000000000004E-2</v>
      </c>
      <c r="Q78" s="4">
        <v>-0.204633333333333</v>
      </c>
    </row>
    <row r="79" spans="1:17" x14ac:dyDescent="0.3">
      <c r="A79" s="177"/>
      <c r="B79" s="4">
        <v>-0.26700000000000002</v>
      </c>
      <c r="C79" s="4">
        <v>-0.14019999999999999</v>
      </c>
      <c r="D79" s="4">
        <v>-0.182</v>
      </c>
      <c r="E79" s="4">
        <v>-0.16009999999999999</v>
      </c>
      <c r="F79" s="4">
        <v>-0.17199999999999999</v>
      </c>
      <c r="G79" s="4">
        <v>-0.2142</v>
      </c>
      <c r="H79" s="4">
        <v>-0.1474</v>
      </c>
      <c r="I79" s="4">
        <v>-2.1600000000000001E-2</v>
      </c>
      <c r="J79" s="4">
        <v>-9.7500000000000003E-2</v>
      </c>
      <c r="K79" s="4">
        <v>-0.1615</v>
      </c>
      <c r="L79" s="4">
        <v>-9.1899999999999996E-2</v>
      </c>
      <c r="M79" s="4">
        <v>-0.23319999999999999</v>
      </c>
      <c r="N79" s="4">
        <v>-6.4399999999999999E-2</v>
      </c>
      <c r="O79" s="4">
        <v>-0.15303333333333299</v>
      </c>
      <c r="P79" s="4">
        <v>-0.10642500000000001</v>
      </c>
      <c r="Q79" s="4">
        <v>-0.22009999999999999</v>
      </c>
    </row>
    <row r="80" spans="1:17" x14ac:dyDescent="0.3">
      <c r="A80" s="177"/>
      <c r="B80" s="4">
        <v>-0.24610000000000001</v>
      </c>
      <c r="C80" s="4">
        <v>-0.1036</v>
      </c>
      <c r="D80" s="4">
        <v>-0.15090000000000001</v>
      </c>
      <c r="E80" s="4">
        <v>-0.114</v>
      </c>
      <c r="F80" s="4">
        <v>-0.1366</v>
      </c>
      <c r="G80" s="4">
        <v>-0.23150000000000001</v>
      </c>
      <c r="H80" s="4">
        <v>-0.1638</v>
      </c>
      <c r="I80" s="4">
        <v>-0.1169</v>
      </c>
      <c r="J80" s="4">
        <v>-3.6900000000000002E-2</v>
      </c>
      <c r="K80" s="4">
        <v>-0.13170000000000001</v>
      </c>
      <c r="L80" s="4">
        <v>-8.72E-2</v>
      </c>
      <c r="M80" s="4">
        <v>-0.1767</v>
      </c>
      <c r="N80" s="4">
        <v>-6.7799999999999999E-2</v>
      </c>
      <c r="O80" s="4">
        <v>-0.14406666666666701</v>
      </c>
      <c r="P80" s="4">
        <v>-0.11107499999999999</v>
      </c>
      <c r="Q80" s="4">
        <v>-0.178933333333333</v>
      </c>
    </row>
    <row r="81" spans="1:17" x14ac:dyDescent="0.3">
      <c r="A81" s="177"/>
      <c r="B81" s="4">
        <v>-0.2392</v>
      </c>
      <c r="C81" s="4">
        <v>-0.16689999999999999</v>
      </c>
      <c r="D81" s="4">
        <v>-0.15029999999999999</v>
      </c>
      <c r="E81" s="4">
        <v>-0.1391</v>
      </c>
      <c r="F81" s="4">
        <v>-0.2041</v>
      </c>
      <c r="G81" s="4">
        <v>-0.24740000000000001</v>
      </c>
      <c r="H81" s="4">
        <v>-0.20860000000000001</v>
      </c>
      <c r="I81" s="4">
        <v>-0.1116</v>
      </c>
      <c r="J81" s="4">
        <v>-0.16550000000000001</v>
      </c>
      <c r="K81" s="4">
        <v>-0.21429999999999999</v>
      </c>
      <c r="L81" s="4">
        <v>-6.6000000000000003E-2</v>
      </c>
      <c r="M81" s="4">
        <v>-0.25169999999999998</v>
      </c>
      <c r="N81" s="4">
        <v>-0.1401</v>
      </c>
      <c r="O81" s="4">
        <v>-0.207166666666667</v>
      </c>
      <c r="P81" s="4">
        <v>-0.13714999999999999</v>
      </c>
      <c r="Q81" s="4">
        <v>-0.21</v>
      </c>
    </row>
    <row r="82" spans="1:17" x14ac:dyDescent="0.3">
      <c r="A82" s="177"/>
      <c r="B82" s="4">
        <v>-0.25040000000000001</v>
      </c>
      <c r="C82" s="4">
        <v>-1.61E-2</v>
      </c>
      <c r="D82" s="4">
        <v>-0.1779</v>
      </c>
      <c r="E82" s="4">
        <v>-0.17150000000000001</v>
      </c>
      <c r="F82" s="4">
        <v>-0.23150000000000001</v>
      </c>
      <c r="G82" s="4">
        <v>-0.16689999999999999</v>
      </c>
      <c r="H82" s="4">
        <v>-0.24590000000000001</v>
      </c>
      <c r="I82" s="4">
        <v>-0.18140000000000001</v>
      </c>
      <c r="J82" s="4">
        <v>-0.10349999999999999</v>
      </c>
      <c r="K82" s="4">
        <v>-0.15609999999999999</v>
      </c>
      <c r="L82" s="4">
        <v>-0.1178</v>
      </c>
      <c r="M82" s="4">
        <v>-0.21790000000000001</v>
      </c>
      <c r="N82" s="4">
        <v>-0.159</v>
      </c>
      <c r="O82" s="4">
        <v>-0.1721</v>
      </c>
      <c r="P82" s="4">
        <v>-0.13669999999999999</v>
      </c>
      <c r="Q82" s="4">
        <v>-0.21326666666666699</v>
      </c>
    </row>
    <row r="83" spans="1:17" x14ac:dyDescent="0.3">
      <c r="A83" s="177"/>
      <c r="B83" s="4">
        <v>-0.24260000000000001</v>
      </c>
      <c r="C83" s="4">
        <v>3.2000000000000001E-2</v>
      </c>
      <c r="D83" s="4">
        <v>-9.4200000000000006E-2</v>
      </c>
      <c r="E83" s="4">
        <v>-0.12330000000000001</v>
      </c>
      <c r="F83" s="4">
        <v>-0.22090000000000001</v>
      </c>
      <c r="G83" s="4">
        <v>-0.14460000000000001</v>
      </c>
      <c r="H83" s="4">
        <v>-0.1179</v>
      </c>
      <c r="I83" s="4">
        <v>-0.1234</v>
      </c>
      <c r="J83" s="4">
        <v>-0.1153</v>
      </c>
      <c r="K83" s="4">
        <v>-0.14560000000000001</v>
      </c>
      <c r="L83" s="4">
        <v>-0.1188</v>
      </c>
      <c r="M83" s="4">
        <v>-0.16170000000000001</v>
      </c>
      <c r="N83" s="4">
        <v>-8.3099999999999993E-2</v>
      </c>
      <c r="O83" s="4">
        <v>-0.12593333333333301</v>
      </c>
      <c r="P83" s="4">
        <v>-0.107775</v>
      </c>
      <c r="Q83" s="4">
        <v>-0.175866666666667</v>
      </c>
    </row>
    <row r="84" spans="1:17" x14ac:dyDescent="0.3">
      <c r="A84" s="177"/>
      <c r="B84" s="4">
        <v>-0.19489999999999999</v>
      </c>
      <c r="C84" s="4">
        <v>0.1825</v>
      </c>
      <c r="D84" s="4">
        <v>-0.13070000000000001</v>
      </c>
      <c r="E84" s="4">
        <v>-0.16639999999999999</v>
      </c>
      <c r="F84" s="4">
        <v>-0.24579999999999999</v>
      </c>
      <c r="G84" s="4">
        <v>-0.14480000000000001</v>
      </c>
      <c r="H84" s="4">
        <v>-0.2016</v>
      </c>
      <c r="I84" s="4">
        <v>-0.16120000000000001</v>
      </c>
      <c r="J84" s="4">
        <v>-0.1188</v>
      </c>
      <c r="K84" s="4">
        <v>-0.18440000000000001</v>
      </c>
      <c r="L84" s="4">
        <v>-0.13539999999999999</v>
      </c>
      <c r="M84" s="4">
        <v>-0.21079999999999999</v>
      </c>
      <c r="N84" s="4">
        <v>-7.51E-2</v>
      </c>
      <c r="O84" s="4">
        <v>-0.15506666666666699</v>
      </c>
      <c r="P84" s="4">
        <v>-8.9974999999999999E-2</v>
      </c>
      <c r="Q84" s="4">
        <v>-0.19070000000000001</v>
      </c>
    </row>
    <row r="85" spans="1:17" x14ac:dyDescent="0.3">
      <c r="A85" s="178"/>
      <c r="B85" s="4">
        <v>-7.0800000000000002E-2</v>
      </c>
      <c r="C85" s="4">
        <v>-9.3200000000000005E-2</v>
      </c>
      <c r="D85" s="4">
        <v>-9.8799999999999999E-2</v>
      </c>
      <c r="E85" s="4">
        <v>-0.18360000000000001</v>
      </c>
      <c r="F85" s="4">
        <v>-0.25800000000000001</v>
      </c>
      <c r="G85" s="4">
        <v>-4.3499999999999997E-2</v>
      </c>
      <c r="H85" s="4">
        <v>-0.27579999999999999</v>
      </c>
      <c r="I85" s="4">
        <v>-0.10199999999999999</v>
      </c>
      <c r="J85" s="4">
        <v>-9.7500000000000003E-2</v>
      </c>
      <c r="K85" s="4">
        <v>-0.20660000000000001</v>
      </c>
      <c r="L85" s="4">
        <v>-8.0500000000000002E-2</v>
      </c>
      <c r="M85" s="4">
        <v>-0.17699999999999999</v>
      </c>
      <c r="N85" s="4">
        <v>-7.5600000000000001E-2</v>
      </c>
      <c r="O85" s="4">
        <v>-0.13893333333333299</v>
      </c>
      <c r="P85" s="4">
        <v>-0.13342499999999999</v>
      </c>
      <c r="Q85" s="4">
        <v>-0.14380000000000001</v>
      </c>
    </row>
    <row r="86" spans="1:17" x14ac:dyDescent="0.3">
      <c r="A86" s="176">
        <v>2024</v>
      </c>
      <c r="B86" s="4">
        <v>-0.1191</v>
      </c>
      <c r="C86" s="4">
        <v>-8.8400000000000006E-2</v>
      </c>
      <c r="D86" s="4">
        <v>-0.10879999999999999</v>
      </c>
      <c r="E86" s="4">
        <v>-0.10249999999999999</v>
      </c>
      <c r="F86" s="4">
        <v>-0.1016</v>
      </c>
      <c r="G86" s="4">
        <v>-7.4899999999999994E-2</v>
      </c>
      <c r="H86" s="4">
        <v>-0.19109999999999999</v>
      </c>
      <c r="I86" s="4">
        <v>-9.4E-2</v>
      </c>
      <c r="J86" s="4">
        <v>-1.5900000000000001E-2</v>
      </c>
      <c r="K86" s="4">
        <v>-0.16489999999999999</v>
      </c>
      <c r="L86" s="4">
        <v>-0.14030000000000001</v>
      </c>
      <c r="M86" s="4">
        <v>-0.19839999999999999</v>
      </c>
      <c r="N86" s="4">
        <v>-3.5400000000000001E-2</v>
      </c>
      <c r="O86" s="4">
        <v>-9.3966666666666698E-2</v>
      </c>
      <c r="P86" s="4">
        <v>-0.106075</v>
      </c>
      <c r="Q86" s="4">
        <v>-0.14000000000000001</v>
      </c>
    </row>
    <row r="87" spans="1:17" x14ac:dyDescent="0.3">
      <c r="A87" s="177"/>
      <c r="B87" s="4">
        <v>-0.1363</v>
      </c>
      <c r="C87" s="4">
        <v>-0.12859999999999999</v>
      </c>
      <c r="D87" s="4">
        <v>-3.2500000000000001E-2</v>
      </c>
      <c r="E87" s="4">
        <v>-0.1042</v>
      </c>
      <c r="F87" s="4">
        <v>-8.5099999999999995E-2</v>
      </c>
      <c r="G87" s="4">
        <v>-8.3199999999999996E-2</v>
      </c>
      <c r="H87" s="4">
        <v>-0.14019999999999999</v>
      </c>
      <c r="I87" s="4">
        <v>-5.1200000000000002E-2</v>
      </c>
      <c r="J87" s="4">
        <v>-3.1099999999999999E-2</v>
      </c>
      <c r="K87" s="4">
        <v>-0.1197</v>
      </c>
      <c r="L87" s="4">
        <v>-5.4399999999999997E-2</v>
      </c>
      <c r="M87" s="4">
        <v>-0.10340000000000001</v>
      </c>
      <c r="N87" s="4">
        <v>-0.14360000000000001</v>
      </c>
      <c r="O87" s="4">
        <v>-8.4833333333333302E-2</v>
      </c>
      <c r="P87" s="4">
        <v>-7.9824999999999993E-2</v>
      </c>
      <c r="Q87" s="4">
        <v>-0.114633333333333</v>
      </c>
    </row>
    <row r="88" spans="1:17" x14ac:dyDescent="0.3">
      <c r="A88" s="177"/>
      <c r="B88" s="4">
        <v>-0.26790000000000003</v>
      </c>
      <c r="C88" s="4">
        <v>-0.21329999999999999</v>
      </c>
      <c r="D88" s="4">
        <v>-0.13600000000000001</v>
      </c>
      <c r="E88" s="4">
        <v>-0.1739</v>
      </c>
      <c r="F88" s="4">
        <v>-0.29210000000000003</v>
      </c>
      <c r="G88" s="4">
        <v>-0.21260000000000001</v>
      </c>
      <c r="H88" s="4">
        <v>-0.2989</v>
      </c>
      <c r="I88" s="4">
        <v>-0.1799</v>
      </c>
      <c r="J88" s="4">
        <v>-0.2848</v>
      </c>
      <c r="K88" s="4">
        <v>-0.23810000000000001</v>
      </c>
      <c r="L88" s="4">
        <v>-0.1641</v>
      </c>
      <c r="M88" s="4">
        <v>-0.25580000000000003</v>
      </c>
      <c r="N88" s="4">
        <v>-0.19980000000000001</v>
      </c>
      <c r="O88" s="4">
        <v>-0.26543333333333302</v>
      </c>
      <c r="P88" s="4">
        <v>-0.21235000000000001</v>
      </c>
      <c r="Q88" s="4">
        <v>-0.23253333333333301</v>
      </c>
    </row>
    <row r="89" spans="1:17" x14ac:dyDescent="0.3">
      <c r="A89" s="177"/>
      <c r="B89" s="4">
        <v>-0.2288</v>
      </c>
      <c r="C89" s="4">
        <v>-5.4300000000000001E-2</v>
      </c>
      <c r="D89" s="4">
        <v>1.61E-2</v>
      </c>
      <c r="E89" s="4">
        <v>-7.2999999999999995E-2</v>
      </c>
      <c r="F89" s="4">
        <v>2.5100000000000001E-2</v>
      </c>
      <c r="G89" s="4">
        <v>0.17030000000000001</v>
      </c>
      <c r="H89" s="4">
        <v>-3.4200000000000001E-2</v>
      </c>
      <c r="I89" s="4">
        <v>-4.5400000000000003E-2</v>
      </c>
      <c r="J89" s="4">
        <v>0.21929999999999999</v>
      </c>
      <c r="K89" s="4">
        <v>-4.7999999999999996E-3</v>
      </c>
      <c r="L89" s="4">
        <v>2.7099999999999999E-2</v>
      </c>
      <c r="M89" s="4">
        <v>-1.5E-3</v>
      </c>
      <c r="N89" s="4">
        <v>0.1022</v>
      </c>
      <c r="O89" s="4">
        <v>0.118466666666667</v>
      </c>
      <c r="P89" s="4">
        <v>-1.1875E-2</v>
      </c>
      <c r="Q89" s="4">
        <v>-0.1011</v>
      </c>
    </row>
    <row r="90" spans="1:17" x14ac:dyDescent="0.3">
      <c r="A90" s="177"/>
      <c r="B90" s="4">
        <v>-0.23100000000000001</v>
      </c>
      <c r="C90" s="4">
        <v>-0.24199999999999999</v>
      </c>
      <c r="D90" s="4">
        <v>-0.1285</v>
      </c>
      <c r="E90" s="4">
        <v>-0.19289999999999999</v>
      </c>
      <c r="F90" s="4">
        <v>-0.19400000000000001</v>
      </c>
      <c r="G90" s="4">
        <v>-2.3E-2</v>
      </c>
      <c r="H90" s="4">
        <v>-8.1799999999999998E-2</v>
      </c>
      <c r="I90" s="4">
        <v>-0.2485</v>
      </c>
      <c r="J90" s="4">
        <v>-8.6599999999999996E-2</v>
      </c>
      <c r="K90" s="4">
        <v>-0.20349999999999999</v>
      </c>
      <c r="L90" s="4">
        <v>-6.4799999999999996E-2</v>
      </c>
      <c r="M90" s="4">
        <v>-0.20780000000000001</v>
      </c>
      <c r="N90" s="4">
        <v>-0.1072</v>
      </c>
      <c r="O90" s="4">
        <v>-6.3799999999999996E-2</v>
      </c>
      <c r="P90" s="4">
        <v>-0.18732499999999999</v>
      </c>
      <c r="Q90" s="4">
        <v>-0.21056666666666701</v>
      </c>
    </row>
    <row r="91" spans="1:17" x14ac:dyDescent="0.3">
      <c r="A91" s="177"/>
      <c r="B91" s="4">
        <v>-0.29210000000000003</v>
      </c>
      <c r="C91" s="4">
        <v>-0.18140000000000001</v>
      </c>
      <c r="D91" s="4">
        <v>-0.10780000000000001</v>
      </c>
      <c r="E91" s="4">
        <v>-0.20280000000000001</v>
      </c>
      <c r="F91" s="4">
        <v>-0.23519999999999999</v>
      </c>
      <c r="G91" s="4">
        <v>-0.1615</v>
      </c>
      <c r="H91" s="4">
        <v>-0.19589999999999999</v>
      </c>
      <c r="I91" s="4">
        <v>-0.2382</v>
      </c>
      <c r="J91" s="4">
        <v>-0.104</v>
      </c>
      <c r="K91" s="4">
        <v>-0.21809999999999999</v>
      </c>
      <c r="L91" s="4">
        <v>-0.1769</v>
      </c>
      <c r="M91" s="4">
        <v>-0.20530000000000001</v>
      </c>
      <c r="N91" s="4">
        <v>-0.16470000000000001</v>
      </c>
      <c r="O91" s="4">
        <v>-0.15379999999999999</v>
      </c>
      <c r="P91" s="4">
        <v>-0.207925</v>
      </c>
      <c r="Q91" s="4">
        <v>-0.2334</v>
      </c>
    </row>
    <row r="92" spans="1:17" x14ac:dyDescent="0.3">
      <c r="A92" s="177"/>
      <c r="B92" s="4">
        <v>-0.24279999999999999</v>
      </c>
      <c r="C92" s="4">
        <v>-0.21829999999999999</v>
      </c>
      <c r="D92" s="4">
        <v>-5.7200000000000001E-2</v>
      </c>
      <c r="E92" s="4">
        <v>-0.12759999999999999</v>
      </c>
      <c r="F92" s="4">
        <v>-0.16930000000000001</v>
      </c>
      <c r="G92" s="4">
        <v>-4.6600000000000003E-2</v>
      </c>
      <c r="H92" s="4">
        <v>-0.20960000000000001</v>
      </c>
      <c r="I92" s="4">
        <v>-0.17169999999999999</v>
      </c>
      <c r="J92" s="4">
        <v>-5.9299999999999999E-2</v>
      </c>
      <c r="K92" s="4">
        <v>-0.1363</v>
      </c>
      <c r="L92" s="4">
        <v>-8.2799999999999999E-2</v>
      </c>
      <c r="M92" s="4">
        <v>-9.5200000000000007E-2</v>
      </c>
      <c r="N92" s="4">
        <v>-0.17449999999999999</v>
      </c>
      <c r="O92" s="4">
        <v>-0.10516666666666701</v>
      </c>
      <c r="P92" s="4">
        <v>-0.160525</v>
      </c>
      <c r="Q92" s="4">
        <v>-0.1552</v>
      </c>
    </row>
    <row r="93" spans="1:17" x14ac:dyDescent="0.3">
      <c r="A93" s="177"/>
      <c r="B93" s="4">
        <v>-0.2465</v>
      </c>
      <c r="C93" s="4">
        <v>-0.21579999999999999</v>
      </c>
      <c r="D93" s="4">
        <v>-0.1497</v>
      </c>
      <c r="E93" s="4">
        <v>-0.1691</v>
      </c>
      <c r="F93" s="4">
        <v>-0.20899999999999999</v>
      </c>
      <c r="G93" s="4">
        <v>-0.13339999999999999</v>
      </c>
      <c r="H93" s="4">
        <v>-0.12540000000000001</v>
      </c>
      <c r="I93" s="4">
        <v>-0.18709999999999999</v>
      </c>
      <c r="J93" s="4">
        <v>-9.4500000000000001E-2</v>
      </c>
      <c r="K93" s="4">
        <v>-0.2036</v>
      </c>
      <c r="L93" s="4">
        <v>-0.17699999999999999</v>
      </c>
      <c r="M93" s="4">
        <v>-0.2016</v>
      </c>
      <c r="N93" s="4">
        <v>-0.2268</v>
      </c>
      <c r="O93" s="4">
        <v>-0.11776666666666701</v>
      </c>
      <c r="P93" s="4">
        <v>-0.19722500000000001</v>
      </c>
      <c r="Q93" s="4">
        <v>-0.20573333333333299</v>
      </c>
    </row>
    <row r="94" spans="1:17" x14ac:dyDescent="0.3">
      <c r="A94" s="177"/>
      <c r="B94" s="4">
        <v>-0.191</v>
      </c>
      <c r="C94" s="4">
        <v>-0.35139999999999999</v>
      </c>
      <c r="D94" s="4">
        <v>-5.4899999999999997E-2</v>
      </c>
      <c r="E94" s="4">
        <v>-0.20050000000000001</v>
      </c>
      <c r="F94" s="4">
        <v>-0.1845</v>
      </c>
      <c r="G94" s="4">
        <v>-6.4100000000000004E-2</v>
      </c>
      <c r="H94" s="4">
        <v>-8.6E-3</v>
      </c>
      <c r="I94" s="4">
        <v>-0.10879999999999999</v>
      </c>
      <c r="J94" s="4">
        <v>-7.8299999999999995E-2</v>
      </c>
      <c r="K94" s="4">
        <v>-0.19189999999999999</v>
      </c>
      <c r="L94" s="4">
        <v>-0.1062</v>
      </c>
      <c r="M94" s="4">
        <v>-0.2324</v>
      </c>
      <c r="N94" s="4">
        <v>-0.1206</v>
      </c>
      <c r="O94" s="4">
        <v>-5.0333333333333299E-2</v>
      </c>
      <c r="P94" s="4">
        <v>-0.187725</v>
      </c>
      <c r="Q94" s="4">
        <v>-0.20796666666666699</v>
      </c>
    </row>
    <row r="95" spans="1:17" x14ac:dyDescent="0.3">
      <c r="A95" s="177"/>
      <c r="B95" s="4">
        <v>-0.1401</v>
      </c>
      <c r="C95" s="4">
        <v>-5.4100000000000002E-2</v>
      </c>
      <c r="D95" s="4">
        <v>-4.4900000000000002E-2</v>
      </c>
      <c r="E95" s="4">
        <v>-7.8799999999999995E-2</v>
      </c>
      <c r="F95" s="4">
        <v>-0.1172</v>
      </c>
      <c r="G95" s="4">
        <v>-9.1600000000000001E-2</v>
      </c>
      <c r="H95" s="4">
        <v>-0.1265</v>
      </c>
      <c r="I95" s="4">
        <v>-0.1799</v>
      </c>
      <c r="J95" s="4">
        <v>8.9999999999999998E-4</v>
      </c>
      <c r="K95" s="4">
        <v>-0.1938</v>
      </c>
      <c r="L95" s="4">
        <v>-9.6000000000000002E-2</v>
      </c>
      <c r="M95" s="4">
        <v>-0.2596</v>
      </c>
      <c r="N95" s="4">
        <v>-6.2300000000000001E-2</v>
      </c>
      <c r="O95" s="4">
        <v>-7.2400000000000006E-2</v>
      </c>
      <c r="P95" s="4">
        <v>-0.1118</v>
      </c>
      <c r="Q95" s="4">
        <v>-0.1595</v>
      </c>
    </row>
    <row r="96" spans="1:17" x14ac:dyDescent="0.3">
      <c r="A96" s="177"/>
      <c r="B96" s="4">
        <v>-0.22750000000000001</v>
      </c>
      <c r="C96" s="4">
        <v>-0.1283</v>
      </c>
      <c r="D96" s="4">
        <v>-6.6799999999999998E-2</v>
      </c>
      <c r="E96" s="4">
        <v>-0.1143</v>
      </c>
      <c r="F96" s="4">
        <v>-0.16669999999999999</v>
      </c>
      <c r="G96" s="4">
        <v>-0.13120000000000001</v>
      </c>
      <c r="H96" s="4">
        <v>-0.13880000000000001</v>
      </c>
      <c r="I96" s="4">
        <v>-0.1812</v>
      </c>
      <c r="J96" s="4">
        <v>-7.9799999999999996E-2</v>
      </c>
      <c r="K96" s="4">
        <v>-0.1633</v>
      </c>
      <c r="L96" s="4">
        <v>-0.1051</v>
      </c>
      <c r="M96" s="4">
        <v>-0.15740000000000001</v>
      </c>
      <c r="N96" s="4">
        <v>-0.1197</v>
      </c>
      <c r="O96" s="4">
        <v>-0.1166</v>
      </c>
      <c r="P96" s="4">
        <v>-0.14532500000000001</v>
      </c>
      <c r="Q96" s="4">
        <v>-0.16639999999999999</v>
      </c>
    </row>
    <row r="97" spans="1:17" x14ac:dyDescent="0.3">
      <c r="A97" s="178"/>
      <c r="B97" s="4">
        <v>-0.2029</v>
      </c>
      <c r="C97" s="4">
        <v>-0.1195</v>
      </c>
      <c r="D97" s="4">
        <v>-0.1278</v>
      </c>
      <c r="E97" s="4">
        <v>-3.7600000000000001E-2</v>
      </c>
      <c r="F97" s="4">
        <v>-9.7900000000000001E-2</v>
      </c>
      <c r="G97" s="4">
        <v>-4.7600000000000003E-2</v>
      </c>
      <c r="H97" s="4">
        <v>-6.2600000000000003E-2</v>
      </c>
      <c r="I97" s="4">
        <v>-0.1182</v>
      </c>
      <c r="J97" s="4">
        <v>-9.8900000000000002E-2</v>
      </c>
      <c r="K97" s="4">
        <v>-0.12280000000000001</v>
      </c>
      <c r="L97" s="4">
        <v>-9.1999999999999998E-2</v>
      </c>
      <c r="M97" s="4">
        <v>-0.19700000000000001</v>
      </c>
      <c r="N97" s="4">
        <v>-4.65E-2</v>
      </c>
      <c r="O97" s="4">
        <v>-6.9699999999999998E-2</v>
      </c>
      <c r="P97" s="4">
        <v>-0.1069</v>
      </c>
      <c r="Q97" s="4">
        <v>-0.14583333333333301</v>
      </c>
    </row>
    <row r="98" spans="1:17" x14ac:dyDescent="0.3">
      <c r="A98" s="176">
        <v>2025</v>
      </c>
      <c r="B98" s="4">
        <v>-0.26779999999999998</v>
      </c>
      <c r="C98" s="4">
        <v>-0.1537</v>
      </c>
      <c r="D98" s="4">
        <v>-9.6699999999999994E-2</v>
      </c>
      <c r="E98" s="4">
        <v>-0.11070000000000001</v>
      </c>
      <c r="F98" s="4">
        <v>-0.19670000000000001</v>
      </c>
      <c r="G98" s="4">
        <v>-0.19900000000000001</v>
      </c>
      <c r="H98" s="4">
        <v>-0.11890000000000001</v>
      </c>
      <c r="I98" s="4">
        <v>-0.20100000000000001</v>
      </c>
      <c r="J98" s="4">
        <v>-0.13869999999999999</v>
      </c>
      <c r="K98" s="4">
        <v>-0.16830000000000001</v>
      </c>
      <c r="L98" s="4">
        <v>-7.4999999999999997E-2</v>
      </c>
      <c r="M98" s="4">
        <v>-0.2349</v>
      </c>
      <c r="N98" s="4">
        <v>-0.31619999999999998</v>
      </c>
      <c r="O98" s="4">
        <v>-0.1522</v>
      </c>
      <c r="P98" s="4">
        <v>-0.15659999999999999</v>
      </c>
      <c r="Q98" s="4">
        <v>-0.20446666666666699</v>
      </c>
    </row>
    <row r="99" spans="1:17" x14ac:dyDescent="0.3">
      <c r="A99" s="178"/>
      <c r="B99" s="4">
        <v>-0.1547</v>
      </c>
      <c r="C99" s="4">
        <v>-0.12770000000000001</v>
      </c>
      <c r="D99" s="4">
        <v>-2.8500000000000001E-2</v>
      </c>
      <c r="E99" s="4">
        <v>-0.1734</v>
      </c>
      <c r="F99" s="4">
        <v>-0.1923</v>
      </c>
      <c r="G99" s="4">
        <v>-0.17630000000000001</v>
      </c>
      <c r="H99" s="4">
        <v>-1.9199999999999998E-2</v>
      </c>
      <c r="I99" s="4">
        <v>-5.8700000000000002E-2</v>
      </c>
      <c r="J99" s="4">
        <v>-0.14960000000000001</v>
      </c>
      <c r="K99" s="4">
        <v>-0.1527</v>
      </c>
      <c r="L99" s="4">
        <v>-8.3400000000000002E-2</v>
      </c>
      <c r="M99" s="4">
        <v>-0.13950000000000001</v>
      </c>
      <c r="N99" s="4">
        <v>-6.3299999999999995E-2</v>
      </c>
      <c r="O99" s="4">
        <v>-0.115033333333333</v>
      </c>
      <c r="P99" s="4">
        <v>-0.115525</v>
      </c>
      <c r="Q99" s="4">
        <v>-0.15586666666666699</v>
      </c>
    </row>
    <row r="101" spans="1:17" ht="33" customHeight="1" x14ac:dyDescent="0.3">
      <c r="C101" s="7" t="s">
        <v>0</v>
      </c>
      <c r="D101" s="175" t="s">
        <v>106</v>
      </c>
      <c r="E101" s="175"/>
      <c r="F101" s="175"/>
      <c r="G101" s="175"/>
      <c r="H101" s="175"/>
      <c r="I101" s="175"/>
      <c r="J101" s="175"/>
      <c r="K101" s="175"/>
      <c r="L101" s="175"/>
      <c r="M101" s="175"/>
      <c r="N101" s="175"/>
      <c r="O101" s="175"/>
      <c r="P101" s="175"/>
      <c r="Q101" s="175"/>
    </row>
  </sheetData>
  <mergeCells count="10">
    <mergeCell ref="D101:Q101"/>
    <mergeCell ref="A2:A13"/>
    <mergeCell ref="A14:A25"/>
    <mergeCell ref="A26:A37"/>
    <mergeCell ref="A38:A49"/>
    <mergeCell ref="A50:A61"/>
    <mergeCell ref="A62:A73"/>
    <mergeCell ref="A74:A85"/>
    <mergeCell ref="A86:A97"/>
    <mergeCell ref="A98:A99"/>
  </mergeCells>
  <hyperlinks>
    <hyperlink ref="C101" location="Index!A1" display="Index" xr:uid="{D68971CE-3D98-4D63-A522-AFFEBAF181E8}"/>
  </hyperlinks>
  <pageMargins left="0.7" right="0.7" top="0.75" bottom="0.75" header="0.3" footer="0.3"/>
  <pageSetup paperSize="9" orientation="portrait" horizontalDpi="300" verticalDpi="300"/>
  <headerFooter>
    <oddFooter>&amp;R_x000D_&amp;1#&amp;"Calibri"&amp;10&amp;K000000 Official Use Only</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7E489-E27F-49EF-8D53-41878559D931}">
  <dimension ref="A1:O8"/>
  <sheetViews>
    <sheetView showGridLines="0" zoomScale="85" zoomScaleNormal="85" workbookViewId="0">
      <selection activeCell="B2" sqref="B2"/>
    </sheetView>
  </sheetViews>
  <sheetFormatPr defaultColWidth="10.88671875" defaultRowHeight="14.4" x14ac:dyDescent="0.3"/>
  <cols>
    <col min="1" max="1" width="24.88671875" style="1" bestFit="1" customWidth="1"/>
    <col min="2" max="2" width="11.88671875" style="1" bestFit="1" customWidth="1"/>
    <col min="3" max="16384" width="10.88671875" style="1"/>
  </cols>
  <sheetData>
    <row r="1" spans="1:15" ht="18" x14ac:dyDescent="0.3">
      <c r="A1" s="1" t="s">
        <v>107</v>
      </c>
      <c r="B1" s="1" t="s">
        <v>108</v>
      </c>
      <c r="C1" s="1" t="s">
        <v>109</v>
      </c>
      <c r="D1" s="179"/>
      <c r="E1" s="179"/>
      <c r="F1" s="179"/>
      <c r="G1" s="179"/>
      <c r="H1" s="179"/>
      <c r="I1" s="179"/>
      <c r="J1" s="179"/>
      <c r="K1" s="179"/>
      <c r="L1" s="179"/>
      <c r="M1" s="179"/>
      <c r="N1" s="179"/>
      <c r="O1" s="179"/>
    </row>
    <row r="2" spans="1:15" x14ac:dyDescent="0.3">
      <c r="A2" s="1" t="s">
        <v>110</v>
      </c>
      <c r="B2" s="2">
        <v>-6.1016666666666698E-2</v>
      </c>
      <c r="C2" s="1">
        <v>0.1</v>
      </c>
    </row>
    <row r="3" spans="1:15" x14ac:dyDescent="0.3">
      <c r="A3" s="1" t="s">
        <v>111</v>
      </c>
      <c r="B3" s="2">
        <v>-9.0121666666666697E-2</v>
      </c>
      <c r="C3" s="1">
        <v>0.11</v>
      </c>
      <c r="E3" s="7" t="s">
        <v>0</v>
      </c>
    </row>
    <row r="4" spans="1:15" x14ac:dyDescent="0.3">
      <c r="A4" s="1" t="s">
        <v>112</v>
      </c>
      <c r="B4" s="2">
        <v>-9.1511666666666699E-2</v>
      </c>
      <c r="C4" s="1">
        <v>0.01</v>
      </c>
      <c r="E4" s="175" t="s">
        <v>113</v>
      </c>
      <c r="F4" s="175"/>
      <c r="G4" s="175"/>
      <c r="H4" s="175"/>
      <c r="I4" s="175"/>
      <c r="J4" s="175"/>
      <c r="K4" s="175"/>
      <c r="L4" s="175"/>
      <c r="M4" s="175"/>
      <c r="N4" s="175"/>
      <c r="O4" s="175"/>
    </row>
    <row r="5" spans="1:15" x14ac:dyDescent="0.3">
      <c r="A5" s="1" t="s">
        <v>114</v>
      </c>
      <c r="B5" s="2">
        <v>-0.106595833333333</v>
      </c>
      <c r="C5" s="1">
        <v>0.01</v>
      </c>
    </row>
    <row r="6" spans="1:15" x14ac:dyDescent="0.3">
      <c r="A6" s="1" t="s">
        <v>115</v>
      </c>
      <c r="B6" s="2">
        <v>-0.136405833333333</v>
      </c>
      <c r="C6" s="1">
        <v>0.08</v>
      </c>
    </row>
    <row r="7" spans="1:15" x14ac:dyDescent="0.3">
      <c r="A7" s="1" t="s">
        <v>116</v>
      </c>
      <c r="B7" s="2">
        <v>-0.16450435606060601</v>
      </c>
      <c r="C7" s="1">
        <v>0.06</v>
      </c>
    </row>
    <row r="8" spans="1:15" x14ac:dyDescent="0.3">
      <c r="A8" s="1" t="s">
        <v>117</v>
      </c>
      <c r="B8" s="2">
        <v>-0.17528333333333301</v>
      </c>
      <c r="C8" s="1">
        <v>0.08</v>
      </c>
    </row>
  </sheetData>
  <mergeCells count="2">
    <mergeCell ref="D1:O1"/>
    <mergeCell ref="E4:O4"/>
  </mergeCells>
  <hyperlinks>
    <hyperlink ref="E3" location="Index!A1" display="Index" xr:uid="{A3AC663A-5434-4E6B-8C2A-22420D4F5A11}"/>
  </hyperlinks>
  <pageMargins left="0.7" right="0.7" top="0.75" bottom="0.75" header="0.3" footer="0.3"/>
  <pageSetup paperSize="9" orientation="portrait" horizontalDpi="300" verticalDpi="300"/>
  <headerFooter>
    <oddFooter>&amp;R_x000D_&amp;1#&amp;"Calibri"&amp;10&amp;K000000 Official Use Only</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C242F-EBFF-4EF0-9F5A-5B1B37E0E589}">
  <dimension ref="A1:AB48"/>
  <sheetViews>
    <sheetView showGridLines="0" topLeftCell="A18" zoomScale="70" zoomScaleNormal="70" workbookViewId="0">
      <selection activeCell="G42" sqref="G42"/>
    </sheetView>
  </sheetViews>
  <sheetFormatPr defaultColWidth="9" defaultRowHeight="14.4" x14ac:dyDescent="0.3"/>
  <cols>
    <col min="1" max="1" width="21.5546875" style="10" bestFit="1" customWidth="1"/>
    <col min="2" max="2" width="9" style="10" hidden="1" customWidth="1"/>
    <col min="3" max="4" width="0" style="10" hidden="1" customWidth="1"/>
    <col min="5" max="7" width="13.88671875" style="10" customWidth="1"/>
    <col min="8" max="8" width="5" style="10" customWidth="1"/>
    <col min="9" max="22" width="9" style="10"/>
    <col min="23" max="23" width="26.88671875" style="10" bestFit="1" customWidth="1"/>
    <col min="24" max="24" width="221.88671875" style="10" bestFit="1" customWidth="1"/>
    <col min="25" max="25" width="10.88671875" style="10" bestFit="1" customWidth="1"/>
    <col min="26" max="26" width="9.5546875" style="10" bestFit="1" customWidth="1"/>
    <col min="27" max="28" width="10" style="10" bestFit="1" customWidth="1"/>
    <col min="29" max="16384" width="9" style="10"/>
  </cols>
  <sheetData>
    <row r="1" spans="1:28" x14ac:dyDescent="0.3">
      <c r="A1" s="180" t="s">
        <v>118</v>
      </c>
      <c r="B1" s="180"/>
      <c r="C1" s="180"/>
      <c r="D1" s="180"/>
      <c r="E1" s="180"/>
      <c r="F1" s="180"/>
      <c r="G1" s="180"/>
      <c r="H1" s="9"/>
      <c r="W1" s="5"/>
      <c r="X1" s="11"/>
    </row>
    <row r="2" spans="1:28" x14ac:dyDescent="0.3">
      <c r="A2" s="12" t="s">
        <v>119</v>
      </c>
      <c r="B2" s="12" t="s">
        <v>120</v>
      </c>
      <c r="C2" s="12" t="s">
        <v>121</v>
      </c>
      <c r="D2" s="12" t="s">
        <v>122</v>
      </c>
      <c r="E2" s="12" t="s">
        <v>123</v>
      </c>
      <c r="F2" s="12" t="s">
        <v>124</v>
      </c>
      <c r="G2" s="12" t="s">
        <v>125</v>
      </c>
      <c r="W2"/>
      <c r="X2"/>
    </row>
    <row r="3" spans="1:28" x14ac:dyDescent="0.3">
      <c r="A3" s="13" t="s">
        <v>91</v>
      </c>
      <c r="B3" s="13"/>
      <c r="C3" s="13"/>
      <c r="D3" s="13"/>
      <c r="E3" s="14">
        <v>5.2703910364156892</v>
      </c>
      <c r="F3" s="14">
        <v>3.889418157931201</v>
      </c>
      <c r="G3" s="14">
        <v>4.4051471451874944</v>
      </c>
      <c r="H3" s="15"/>
      <c r="W3"/>
      <c r="X3"/>
    </row>
    <row r="4" spans="1:28" ht="14.25" customHeight="1" x14ac:dyDescent="0.3">
      <c r="A4" s="13" t="s">
        <v>126</v>
      </c>
      <c r="B4" s="13"/>
      <c r="C4" s="13"/>
      <c r="D4" s="13"/>
      <c r="E4" s="14">
        <v>6.4932003313858511</v>
      </c>
      <c r="F4" s="14">
        <v>1.165411798944116</v>
      </c>
      <c r="G4" s="14">
        <v>3.829306065164984</v>
      </c>
      <c r="H4" s="15"/>
      <c r="W4"/>
      <c r="X4"/>
      <c r="Y4" s="16"/>
      <c r="Z4" s="8"/>
      <c r="AA4" s="8"/>
      <c r="AB4" s="8"/>
    </row>
    <row r="5" spans="1:28" x14ac:dyDescent="0.3">
      <c r="A5" s="13" t="s">
        <v>90</v>
      </c>
      <c r="B5" s="13"/>
      <c r="C5" s="13"/>
      <c r="D5" s="13"/>
      <c r="E5" s="14">
        <v>2.10531414299806</v>
      </c>
      <c r="F5" s="14">
        <v>1.9558647962762741</v>
      </c>
      <c r="G5" s="14">
        <v>2.0118826498133351</v>
      </c>
      <c r="H5" s="15"/>
      <c r="I5" s="181"/>
      <c r="J5" s="181"/>
      <c r="K5" s="181"/>
      <c r="L5" s="181"/>
      <c r="M5" s="181"/>
      <c r="N5" s="181"/>
      <c r="O5" s="181"/>
      <c r="P5" s="181"/>
      <c r="Q5" s="181"/>
      <c r="R5" s="181"/>
      <c r="S5" s="181"/>
      <c r="T5" s="181"/>
      <c r="U5" s="181"/>
      <c r="V5" s="181"/>
      <c r="W5"/>
      <c r="X5"/>
      <c r="Y5" s="16"/>
      <c r="Z5" s="18"/>
      <c r="AA5" s="18"/>
      <c r="AB5" s="18"/>
    </row>
    <row r="6" spans="1:28" x14ac:dyDescent="0.3">
      <c r="A6" s="13" t="s">
        <v>99</v>
      </c>
      <c r="B6" s="13"/>
      <c r="C6" s="13"/>
      <c r="D6" s="13"/>
      <c r="E6" s="14">
        <v>2.4757096092939301</v>
      </c>
      <c r="F6" s="14">
        <v>1.6932507335020159</v>
      </c>
      <c r="G6" s="14">
        <v>1.985970212942245</v>
      </c>
      <c r="H6" s="15"/>
      <c r="I6" s="181"/>
      <c r="J6" s="181"/>
      <c r="K6" s="181"/>
      <c r="L6" s="181"/>
      <c r="M6" s="181"/>
      <c r="N6" s="181"/>
      <c r="O6" s="181"/>
      <c r="P6" s="181"/>
      <c r="Q6" s="181"/>
      <c r="R6" s="181"/>
      <c r="S6" s="181"/>
      <c r="T6" s="181"/>
      <c r="U6" s="181"/>
      <c r="V6" s="181"/>
      <c r="W6"/>
      <c r="X6"/>
    </row>
    <row r="7" spans="1:28" x14ac:dyDescent="0.3">
      <c r="A7" s="13" t="s">
        <v>127</v>
      </c>
      <c r="B7" s="13"/>
      <c r="C7" s="13"/>
      <c r="D7" s="13"/>
      <c r="E7" s="14">
        <v>1.395888648541588</v>
      </c>
      <c r="F7" s="14">
        <v>2.3981832112378809</v>
      </c>
      <c r="G7" s="14">
        <v>1.9674208942807909</v>
      </c>
      <c r="H7" s="15"/>
      <c r="I7" s="181"/>
      <c r="J7" s="181"/>
      <c r="K7" s="181"/>
      <c r="L7" s="181"/>
      <c r="M7" s="181"/>
      <c r="N7" s="181"/>
      <c r="O7" s="181"/>
      <c r="P7" s="181"/>
      <c r="Q7" s="181"/>
      <c r="R7" s="181"/>
      <c r="S7" s="181"/>
      <c r="T7" s="181"/>
      <c r="U7" s="181"/>
      <c r="V7" s="181"/>
      <c r="W7"/>
      <c r="X7"/>
    </row>
    <row r="8" spans="1:28" x14ac:dyDescent="0.3">
      <c r="A8" s="13" t="s">
        <v>96</v>
      </c>
      <c r="B8" s="13"/>
      <c r="C8" s="13"/>
      <c r="D8" s="13"/>
      <c r="E8" s="14">
        <v>3.0313897807728418</v>
      </c>
      <c r="F8" s="14">
        <v>1.444097438856407</v>
      </c>
      <c r="G8" s="14">
        <v>1.8950976410886611</v>
      </c>
      <c r="H8" s="15"/>
      <c r="I8" s="181"/>
      <c r="J8" s="181"/>
      <c r="K8" s="181"/>
      <c r="L8" s="181"/>
      <c r="M8" s="181"/>
      <c r="N8" s="181"/>
      <c r="O8" s="181"/>
      <c r="P8" s="181"/>
      <c r="Q8" s="181"/>
      <c r="R8" s="181"/>
      <c r="S8" s="181"/>
      <c r="T8" s="181"/>
      <c r="U8" s="181"/>
      <c r="V8" s="181"/>
      <c r="W8"/>
      <c r="X8"/>
    </row>
    <row r="9" spans="1:28" x14ac:dyDescent="0.3">
      <c r="A9" s="13" t="s">
        <v>93</v>
      </c>
      <c r="B9" s="13"/>
      <c r="C9" s="13"/>
      <c r="D9" s="13"/>
      <c r="E9" s="14">
        <v>1.669283559176415</v>
      </c>
      <c r="F9" s="14">
        <v>2.004778287866404</v>
      </c>
      <c r="G9" s="14">
        <v>1.878838223718504</v>
      </c>
      <c r="H9" s="15"/>
      <c r="I9" s="181"/>
      <c r="J9" s="181"/>
      <c r="K9" s="181"/>
      <c r="L9" s="181"/>
      <c r="M9" s="181"/>
      <c r="N9" s="181"/>
      <c r="O9" s="181"/>
      <c r="P9" s="181"/>
      <c r="Q9" s="181"/>
      <c r="R9" s="181"/>
      <c r="S9" s="181"/>
      <c r="T9" s="181"/>
      <c r="U9" s="181"/>
      <c r="V9" s="181"/>
      <c r="W9"/>
      <c r="X9"/>
    </row>
    <row r="10" spans="1:28" x14ac:dyDescent="0.3">
      <c r="A10" s="13" t="s">
        <v>100</v>
      </c>
      <c r="B10" s="13"/>
      <c r="C10" s="13"/>
      <c r="D10" s="13"/>
      <c r="E10" s="14">
        <v>1.0621082150396699</v>
      </c>
      <c r="F10" s="14">
        <v>2.1845801516947589</v>
      </c>
      <c r="G10" s="14">
        <v>1.762199585201585</v>
      </c>
      <c r="H10" s="15"/>
      <c r="I10" s="181"/>
      <c r="J10" s="181"/>
      <c r="K10" s="181"/>
      <c r="L10" s="181"/>
      <c r="M10" s="181"/>
      <c r="N10" s="181"/>
      <c r="O10" s="181"/>
      <c r="P10" s="181"/>
      <c r="Q10" s="181"/>
      <c r="R10" s="181"/>
      <c r="S10" s="181"/>
      <c r="T10" s="181"/>
      <c r="U10" s="181"/>
      <c r="V10" s="181"/>
      <c r="W10"/>
      <c r="X10"/>
    </row>
    <row r="11" spans="1:28" x14ac:dyDescent="0.3">
      <c r="A11" s="13" t="s">
        <v>128</v>
      </c>
      <c r="B11" s="13"/>
      <c r="C11" s="13"/>
      <c r="D11" s="13"/>
      <c r="E11" s="14">
        <v>1.8173561733950021</v>
      </c>
      <c r="F11" s="14">
        <v>1.715928219560414</v>
      </c>
      <c r="G11" s="14">
        <v>1.7539518562092129</v>
      </c>
      <c r="H11" s="15"/>
      <c r="I11" s="181"/>
      <c r="J11" s="181"/>
      <c r="K11" s="181"/>
      <c r="L11" s="181"/>
      <c r="M11" s="181"/>
      <c r="N11" s="181"/>
      <c r="O11" s="181"/>
      <c r="P11" s="181"/>
      <c r="Q11" s="181"/>
      <c r="R11" s="181"/>
      <c r="S11" s="181"/>
      <c r="T11" s="181"/>
      <c r="U11" s="181"/>
      <c r="V11" s="181"/>
      <c r="W11"/>
      <c r="X11"/>
    </row>
    <row r="12" spans="1:28" x14ac:dyDescent="0.3">
      <c r="A12" s="13" t="s">
        <v>97</v>
      </c>
      <c r="B12" s="13"/>
      <c r="C12" s="13"/>
      <c r="D12" s="13"/>
      <c r="E12" s="14"/>
      <c r="F12" s="14">
        <v>1.483026992434366</v>
      </c>
      <c r="G12" s="14">
        <v>1.483026992434366</v>
      </c>
      <c r="H12" s="15"/>
      <c r="I12" s="181"/>
      <c r="J12" s="181"/>
      <c r="K12" s="181"/>
      <c r="L12" s="181"/>
      <c r="M12" s="181"/>
      <c r="N12" s="181"/>
      <c r="O12" s="181"/>
      <c r="P12" s="181"/>
      <c r="Q12" s="181"/>
      <c r="R12" s="181"/>
      <c r="S12" s="181"/>
      <c r="T12" s="181"/>
      <c r="U12" s="181"/>
      <c r="V12" s="181"/>
      <c r="W12"/>
      <c r="X12"/>
    </row>
    <row r="13" spans="1:28" x14ac:dyDescent="0.3">
      <c r="A13" s="13" t="s">
        <v>92</v>
      </c>
      <c r="B13" s="13"/>
      <c r="C13" s="13"/>
      <c r="D13" s="13"/>
      <c r="E13" s="14">
        <v>1.2692960663904349</v>
      </c>
      <c r="F13" s="14">
        <v>1.58248992310257</v>
      </c>
      <c r="G13" s="14">
        <v>1.4649288785234751</v>
      </c>
      <c r="H13" s="15"/>
      <c r="I13" s="181"/>
      <c r="J13" s="181"/>
      <c r="K13" s="181"/>
      <c r="L13" s="181"/>
      <c r="M13" s="181"/>
      <c r="N13" s="181"/>
      <c r="O13" s="181"/>
      <c r="P13" s="181"/>
      <c r="Q13" s="181"/>
      <c r="R13" s="181"/>
      <c r="S13" s="181"/>
      <c r="T13" s="181"/>
      <c r="U13" s="181"/>
      <c r="V13" s="181"/>
    </row>
    <row r="14" spans="1:28" x14ac:dyDescent="0.3">
      <c r="A14" s="13" t="s">
        <v>95</v>
      </c>
      <c r="B14" s="13"/>
      <c r="C14" s="13"/>
      <c r="D14" s="13"/>
      <c r="E14" s="14">
        <v>3.7528394467567061</v>
      </c>
      <c r="F14" s="14">
        <v>-0.2367269640464853</v>
      </c>
      <c r="G14" s="14">
        <v>1.2410585324118319</v>
      </c>
      <c r="H14" s="15"/>
      <c r="I14" s="181"/>
      <c r="J14" s="181"/>
      <c r="K14" s="181"/>
      <c r="L14" s="181"/>
      <c r="M14" s="181"/>
      <c r="N14" s="181"/>
      <c r="O14" s="181"/>
      <c r="P14" s="181"/>
      <c r="Q14" s="181"/>
      <c r="R14" s="181"/>
      <c r="S14" s="181"/>
      <c r="T14" s="181"/>
      <c r="U14" s="181"/>
      <c r="V14" s="181"/>
    </row>
    <row r="15" spans="1:28" x14ac:dyDescent="0.3">
      <c r="A15" s="13" t="s">
        <v>94</v>
      </c>
      <c r="B15" s="13"/>
      <c r="C15" s="13"/>
      <c r="D15" s="13"/>
      <c r="E15" s="14">
        <v>0.17396815113512881</v>
      </c>
      <c r="F15" s="14">
        <v>1.980536002769262</v>
      </c>
      <c r="G15" s="14">
        <v>1.0772520769521949</v>
      </c>
      <c r="H15" s="15"/>
      <c r="I15" s="181"/>
      <c r="J15" s="181"/>
      <c r="K15" s="181"/>
      <c r="L15" s="181"/>
      <c r="M15" s="181"/>
      <c r="N15" s="181"/>
      <c r="O15" s="181"/>
      <c r="P15" s="181"/>
      <c r="Q15" s="181"/>
      <c r="R15" s="181"/>
      <c r="S15" s="181"/>
      <c r="T15" s="181"/>
      <c r="U15" s="181"/>
      <c r="V15" s="181"/>
    </row>
    <row r="16" spans="1:28" x14ac:dyDescent="0.3">
      <c r="A16" s="13" t="s">
        <v>101</v>
      </c>
      <c r="B16" s="13"/>
      <c r="C16" s="13"/>
      <c r="D16" s="13"/>
      <c r="E16" s="14">
        <v>-0.55044270498855186</v>
      </c>
      <c r="F16" s="14">
        <v>-0.46439765433254898</v>
      </c>
      <c r="G16" s="14">
        <v>-0.50742017966055042</v>
      </c>
      <c r="H16" s="15"/>
      <c r="I16" s="181"/>
      <c r="J16" s="181"/>
      <c r="K16" s="181"/>
      <c r="L16" s="181"/>
      <c r="M16" s="181"/>
      <c r="N16" s="181"/>
      <c r="O16" s="181"/>
      <c r="P16" s="181"/>
      <c r="Q16" s="181"/>
      <c r="R16" s="181"/>
      <c r="S16" s="181"/>
      <c r="T16" s="181"/>
      <c r="U16" s="181"/>
      <c r="V16" s="181"/>
    </row>
    <row r="17" spans="1:25" x14ac:dyDescent="0.3">
      <c r="A17" s="12"/>
      <c r="B17" s="12"/>
      <c r="C17" s="12"/>
      <c r="D17" s="12"/>
      <c r="E17" s="21"/>
      <c r="F17" s="21"/>
      <c r="G17" s="21"/>
      <c r="H17" s="15"/>
      <c r="I17" s="181"/>
      <c r="J17" s="181"/>
      <c r="K17" s="181"/>
      <c r="L17" s="181"/>
      <c r="M17" s="181"/>
      <c r="N17" s="181"/>
      <c r="O17" s="181"/>
      <c r="P17" s="181"/>
      <c r="Q17" s="181"/>
      <c r="R17" s="181"/>
      <c r="S17" s="181"/>
      <c r="T17" s="181"/>
      <c r="U17" s="181"/>
      <c r="V17" s="181"/>
    </row>
    <row r="18" spans="1:25" x14ac:dyDescent="0.3">
      <c r="A18" s="13"/>
      <c r="B18" s="13"/>
      <c r="C18" s="13"/>
      <c r="D18" s="13"/>
      <c r="E18" s="14"/>
      <c r="F18" s="14"/>
      <c r="G18" s="14"/>
      <c r="H18" s="15"/>
      <c r="I18" s="7" t="s">
        <v>0</v>
      </c>
      <c r="J18" s="17"/>
      <c r="K18" s="17"/>
      <c r="L18" s="17"/>
      <c r="M18" s="17"/>
      <c r="N18" s="17"/>
      <c r="O18" s="17"/>
      <c r="P18" s="17"/>
      <c r="Q18" s="17"/>
      <c r="R18" s="17"/>
      <c r="S18" s="17"/>
      <c r="T18" s="17"/>
      <c r="U18" s="17"/>
      <c r="V18" s="17"/>
    </row>
    <row r="19" spans="1:25" x14ac:dyDescent="0.3">
      <c r="A19" s="13" t="s">
        <v>129</v>
      </c>
      <c r="B19" s="13">
        <v>2017</v>
      </c>
      <c r="C19" s="13"/>
      <c r="D19" s="13"/>
      <c r="E19" s="14">
        <v>13.589872457361871</v>
      </c>
      <c r="F19" s="14">
        <v>2.7633766281901728</v>
      </c>
      <c r="G19" s="14">
        <v>6.9643027032725513</v>
      </c>
      <c r="H19" s="15"/>
      <c r="I19" s="7"/>
      <c r="J19" s="7"/>
      <c r="K19" s="7"/>
      <c r="L19" s="7"/>
      <c r="M19" s="7"/>
      <c r="N19" s="7"/>
      <c r="O19" s="7"/>
      <c r="P19" s="7"/>
      <c r="Q19" s="7"/>
    </row>
    <row r="20" spans="1:25" x14ac:dyDescent="0.3">
      <c r="A20" s="13" t="s">
        <v>130</v>
      </c>
      <c r="B20" s="13">
        <v>2018</v>
      </c>
      <c r="C20" s="13"/>
      <c r="D20" s="13">
        <v>2023</v>
      </c>
      <c r="E20" s="14"/>
      <c r="F20" s="14">
        <v>4.8557692879324321</v>
      </c>
      <c r="G20" s="14">
        <v>4.8557692879324321</v>
      </c>
      <c r="H20" s="15"/>
      <c r="I20" s="22" t="s">
        <v>131</v>
      </c>
    </row>
    <row r="21" spans="1:25" x14ac:dyDescent="0.3">
      <c r="A21" s="13" t="s">
        <v>132</v>
      </c>
      <c r="B21" s="13">
        <v>2017</v>
      </c>
      <c r="C21" s="13">
        <v>2018</v>
      </c>
      <c r="D21" s="13">
        <v>2020</v>
      </c>
      <c r="E21" s="14">
        <v>9.3507703040346826</v>
      </c>
      <c r="F21" s="14">
        <v>1.8056373916800481</v>
      </c>
      <c r="G21" s="14">
        <v>4.2609874473578113</v>
      </c>
      <c r="H21" s="15"/>
      <c r="R21" s="182"/>
      <c r="S21" s="182"/>
      <c r="T21" s="182"/>
      <c r="U21" s="182"/>
      <c r="V21" s="182"/>
      <c r="W21" s="182"/>
      <c r="X21" s="182"/>
      <c r="Y21" s="182"/>
    </row>
    <row r="22" spans="1:25" x14ac:dyDescent="0.3">
      <c r="A22" s="13" t="s">
        <v>133</v>
      </c>
      <c r="B22" s="13"/>
      <c r="C22" s="13"/>
      <c r="D22" s="13">
        <v>2019</v>
      </c>
      <c r="E22" s="14">
        <v>3.3034152042532128</v>
      </c>
      <c r="F22" s="14"/>
      <c r="G22" s="14">
        <v>3.3034152042532128</v>
      </c>
      <c r="H22" s="15"/>
      <c r="R22" s="182"/>
      <c r="S22" s="182"/>
      <c r="T22" s="182"/>
      <c r="U22" s="182"/>
      <c r="V22" s="182"/>
      <c r="W22" s="182"/>
      <c r="X22" s="182"/>
      <c r="Y22" s="182"/>
    </row>
    <row r="23" spans="1:25" x14ac:dyDescent="0.3">
      <c r="A23" s="13" t="s">
        <v>134</v>
      </c>
      <c r="B23" s="13"/>
      <c r="C23" s="13"/>
      <c r="D23" s="13"/>
      <c r="E23" s="14"/>
      <c r="F23" s="14">
        <v>2.3876797833405572</v>
      </c>
      <c r="G23" s="14">
        <v>2.3876797833405572</v>
      </c>
      <c r="H23" s="15"/>
      <c r="R23" s="182"/>
      <c r="S23" s="182"/>
      <c r="T23" s="182"/>
      <c r="U23" s="182"/>
      <c r="V23" s="182"/>
      <c r="W23" s="182"/>
      <c r="X23" s="182"/>
      <c r="Y23" s="182"/>
    </row>
    <row r="24" spans="1:25" x14ac:dyDescent="0.3">
      <c r="A24" s="13" t="s">
        <v>135</v>
      </c>
      <c r="B24" s="13"/>
      <c r="C24" s="13"/>
      <c r="D24" s="13"/>
      <c r="E24" s="14">
        <v>1.2811754841877581</v>
      </c>
      <c r="F24" s="14">
        <v>3.3865999846700801</v>
      </c>
      <c r="G24" s="14">
        <v>2.3284729474689851</v>
      </c>
      <c r="H24" s="15"/>
      <c r="R24" s="182"/>
      <c r="S24" s="182"/>
      <c r="T24" s="182"/>
      <c r="U24" s="182"/>
      <c r="V24" s="182"/>
      <c r="W24" s="182"/>
      <c r="X24" s="182"/>
      <c r="Y24" s="182"/>
    </row>
    <row r="25" spans="1:25" x14ac:dyDescent="0.3">
      <c r="A25" s="13" t="s">
        <v>136</v>
      </c>
      <c r="B25" s="13">
        <v>2017</v>
      </c>
      <c r="C25" s="13"/>
      <c r="D25" s="13">
        <v>2021</v>
      </c>
      <c r="E25" s="14">
        <v>4.5270458376040601</v>
      </c>
      <c r="F25" s="14">
        <v>6.8668071424360377E-3</v>
      </c>
      <c r="G25" s="14">
        <v>2.2419793960648078</v>
      </c>
      <c r="H25" s="15"/>
      <c r="R25" s="182"/>
      <c r="S25" s="182"/>
      <c r="T25" s="182"/>
      <c r="U25" s="182"/>
      <c r="V25" s="182"/>
      <c r="W25" s="182"/>
      <c r="X25" s="182"/>
      <c r="Y25" s="182"/>
    </row>
    <row r="26" spans="1:25" x14ac:dyDescent="0.3">
      <c r="A26" s="13" t="s">
        <v>137</v>
      </c>
      <c r="B26" s="13"/>
      <c r="C26" s="13"/>
      <c r="D26" s="13"/>
      <c r="E26" s="14">
        <v>2.3156176609842261</v>
      </c>
      <c r="F26" s="14">
        <v>2.0505202316471789</v>
      </c>
      <c r="G26" s="14">
        <v>2.1829829772342708</v>
      </c>
      <c r="H26" s="15"/>
      <c r="R26" s="182"/>
      <c r="S26" s="182"/>
      <c r="T26" s="182"/>
      <c r="U26" s="182"/>
      <c r="V26" s="182"/>
      <c r="W26" s="182"/>
      <c r="X26" s="182"/>
      <c r="Y26" s="182"/>
    </row>
    <row r="27" spans="1:25" x14ac:dyDescent="0.3">
      <c r="A27" s="13" t="s">
        <v>138</v>
      </c>
      <c r="B27" s="13">
        <v>2017</v>
      </c>
      <c r="C27" s="13"/>
      <c r="D27" s="13"/>
      <c r="E27" s="14">
        <v>-0.49553240919096853</v>
      </c>
      <c r="F27" s="14">
        <v>2.992699870351601</v>
      </c>
      <c r="G27" s="14">
        <v>1.5829680542461591</v>
      </c>
      <c r="H27" s="15"/>
    </row>
    <row r="28" spans="1:25" x14ac:dyDescent="0.3">
      <c r="A28" s="13" t="s">
        <v>139</v>
      </c>
      <c r="B28" s="13"/>
      <c r="C28" s="13">
        <v>2017</v>
      </c>
      <c r="D28" s="13">
        <v>2017</v>
      </c>
      <c r="E28" s="14">
        <v>1.1857217136924449</v>
      </c>
      <c r="F28" s="14"/>
      <c r="G28" s="14">
        <v>1.1857217136924449</v>
      </c>
      <c r="H28" s="15"/>
    </row>
    <row r="29" spans="1:25" x14ac:dyDescent="0.3">
      <c r="A29" s="13" t="s">
        <v>140</v>
      </c>
      <c r="B29" s="13"/>
      <c r="C29" s="13"/>
      <c r="D29" s="13">
        <v>2019</v>
      </c>
      <c r="E29" s="14">
        <v>1.0602471125077839</v>
      </c>
      <c r="F29" s="14"/>
      <c r="G29" s="14">
        <v>1.0602471125077839</v>
      </c>
      <c r="H29" s="15"/>
    </row>
    <row r="30" spans="1:25" x14ac:dyDescent="0.3">
      <c r="A30" s="13" t="s">
        <v>141</v>
      </c>
      <c r="B30" s="13">
        <v>2015</v>
      </c>
      <c r="C30" s="13"/>
      <c r="D30" s="13">
        <v>2021</v>
      </c>
      <c r="E30" s="14">
        <v>1.09822744002146</v>
      </c>
      <c r="F30" s="14">
        <v>-0.41148060960845001</v>
      </c>
      <c r="G30" s="14">
        <v>0.59246547801903304</v>
      </c>
      <c r="H30" s="15"/>
    </row>
    <row r="31" spans="1:25" x14ac:dyDescent="0.3">
      <c r="A31" s="13" t="s">
        <v>142</v>
      </c>
      <c r="B31" s="13"/>
      <c r="C31" s="13"/>
      <c r="D31" s="13"/>
      <c r="E31" s="14">
        <v>-4.8895377415791863E-2</v>
      </c>
      <c r="F31" s="14">
        <v>0.98768890597678016</v>
      </c>
      <c r="G31" s="14">
        <v>0.46805989683622601</v>
      </c>
      <c r="H31" s="15"/>
    </row>
    <row r="32" spans="1:25" x14ac:dyDescent="0.3">
      <c r="A32" s="13" t="s">
        <v>143</v>
      </c>
      <c r="B32" s="13"/>
      <c r="C32" s="13"/>
      <c r="D32" s="13">
        <v>2021</v>
      </c>
      <c r="E32" s="14">
        <v>4.7362166998610178E-2</v>
      </c>
      <c r="F32" s="14">
        <v>0.55312424403746174</v>
      </c>
      <c r="G32" s="14">
        <v>0.24936101327723839</v>
      </c>
      <c r="H32" s="15"/>
    </row>
    <row r="33" spans="1:8" x14ac:dyDescent="0.3">
      <c r="A33" s="13" t="s">
        <v>144</v>
      </c>
      <c r="B33" s="13">
        <v>2014</v>
      </c>
      <c r="C33" s="13">
        <v>2020</v>
      </c>
      <c r="D33" s="13">
        <v>2020</v>
      </c>
      <c r="E33" s="14">
        <v>-0.87578025264672954</v>
      </c>
      <c r="F33" s="14"/>
      <c r="G33" s="14">
        <v>-0.87578025264672954</v>
      </c>
      <c r="H33" s="15"/>
    </row>
    <row r="34" spans="1:8" x14ac:dyDescent="0.3">
      <c r="A34" s="13" t="s">
        <v>145</v>
      </c>
      <c r="B34" s="13"/>
      <c r="C34" s="13"/>
      <c r="D34" s="13">
        <v>2020</v>
      </c>
      <c r="E34" s="14">
        <v>1.245259307425117</v>
      </c>
      <c r="F34" s="14">
        <v>-7.9485050196223757</v>
      </c>
      <c r="G34" s="14">
        <v>-1.135873331924719</v>
      </c>
      <c r="H34" s="15"/>
    </row>
    <row r="35" spans="1:8" x14ac:dyDescent="0.3">
      <c r="A35" s="13" t="s">
        <v>146</v>
      </c>
      <c r="B35" s="13">
        <v>2013</v>
      </c>
      <c r="C35" s="13">
        <v>2021</v>
      </c>
      <c r="D35" s="13">
        <v>2021</v>
      </c>
      <c r="E35" s="14">
        <v>-1.6123568551023479</v>
      </c>
      <c r="F35" s="14"/>
      <c r="G35" s="14">
        <v>-1.6123568551023479</v>
      </c>
      <c r="H35" s="15"/>
    </row>
    <row r="36" spans="1:8" x14ac:dyDescent="0.3">
      <c r="A36" s="13" t="s">
        <v>147</v>
      </c>
      <c r="B36" s="13">
        <v>2017</v>
      </c>
      <c r="C36" s="13"/>
      <c r="D36" s="13"/>
      <c r="E36" s="14">
        <v>-0.48372360839834538</v>
      </c>
      <c r="F36" s="14">
        <v>-8.7614320536873898</v>
      </c>
      <c r="G36" s="14">
        <v>-5.5363498366631569</v>
      </c>
      <c r="H36" s="15"/>
    </row>
    <row r="37" spans="1:8" x14ac:dyDescent="0.3">
      <c r="A37" s="19"/>
    </row>
    <row r="48" spans="1:8" x14ac:dyDescent="0.3">
      <c r="A48" s="20"/>
    </row>
  </sheetData>
  <autoFilter ref="A2:G36" xr:uid="{C7B6289B-46D9-4FC7-9335-B6E0BA5DC154}"/>
  <mergeCells count="3">
    <mergeCell ref="A1:G1"/>
    <mergeCell ref="I5:V17"/>
    <mergeCell ref="R21:Y26"/>
  </mergeCells>
  <hyperlinks>
    <hyperlink ref="I18" location="Index!A1" display="Index" xr:uid="{0AE32FCF-79AA-47B8-A5A6-15DA8302309C}"/>
  </hyperlinks>
  <pageMargins left="0.7" right="0.7" top="0.75" bottom="0.75" header="0.3" footer="0.3"/>
  <headerFooter>
    <oddFooter>&amp;R_x000D_&amp;1#&amp;"Calibri"&amp;10&amp;K000000 Official Use Only</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5D1B5-F569-4465-BB04-2EB301BADA12}">
  <dimension ref="A1:Y22"/>
  <sheetViews>
    <sheetView showGridLines="0" topLeftCell="E12" workbookViewId="0">
      <selection activeCell="M3" sqref="M3"/>
    </sheetView>
  </sheetViews>
  <sheetFormatPr defaultColWidth="9" defaultRowHeight="14.4" x14ac:dyDescent="0.3"/>
  <cols>
    <col min="1" max="1" width="36.5546875" style="23" bestFit="1" customWidth="1"/>
    <col min="2" max="6" width="9" style="23"/>
    <col min="7" max="7" width="10" style="23" bestFit="1" customWidth="1"/>
    <col min="8" max="16384" width="9" style="23"/>
  </cols>
  <sheetData>
    <row r="1" spans="1:25" x14ac:dyDescent="0.3">
      <c r="A1" s="184" t="s">
        <v>148</v>
      </c>
      <c r="B1" s="184"/>
      <c r="C1" s="184"/>
      <c r="D1" s="184"/>
      <c r="E1" s="184"/>
      <c r="F1" s="184"/>
      <c r="G1" s="184"/>
      <c r="H1" s="184"/>
      <c r="I1" s="184"/>
      <c r="J1" s="184"/>
      <c r="K1" s="184"/>
      <c r="L1" s="184"/>
      <c r="M1" s="184"/>
      <c r="N1" s="184"/>
      <c r="O1" s="184"/>
      <c r="P1" s="184"/>
      <c r="Q1" s="184"/>
      <c r="R1" s="184"/>
      <c r="S1" s="184"/>
      <c r="T1" s="184"/>
      <c r="U1" s="184"/>
      <c r="V1" s="184"/>
      <c r="W1" s="184"/>
      <c r="X1" s="184"/>
      <c r="Y1" s="184"/>
    </row>
    <row r="3" spans="1:25" x14ac:dyDescent="0.3">
      <c r="A3" s="25"/>
      <c r="B3" s="185" t="s">
        <v>149</v>
      </c>
      <c r="C3" s="185"/>
      <c r="D3" s="185"/>
      <c r="E3" s="185"/>
      <c r="F3" s="26"/>
      <c r="G3" s="25"/>
      <c r="H3" s="185" t="s">
        <v>150</v>
      </c>
      <c r="I3" s="185"/>
      <c r="J3" s="185"/>
      <c r="K3" s="185"/>
      <c r="M3" s="24" t="s">
        <v>0</v>
      </c>
    </row>
    <row r="4" spans="1:25" x14ac:dyDescent="0.3">
      <c r="A4" s="25" t="s">
        <v>151</v>
      </c>
      <c r="B4" s="25" t="s">
        <v>152</v>
      </c>
      <c r="C4" s="25" t="s">
        <v>153</v>
      </c>
      <c r="D4" s="25" t="s">
        <v>154</v>
      </c>
      <c r="E4" s="25" t="s">
        <v>155</v>
      </c>
      <c r="F4" s="26"/>
      <c r="G4" s="25" t="s">
        <v>151</v>
      </c>
      <c r="H4" s="25" t="s">
        <v>152</v>
      </c>
      <c r="I4" s="25" t="s">
        <v>153</v>
      </c>
      <c r="J4" s="25" t="s">
        <v>154</v>
      </c>
      <c r="K4" s="25" t="s">
        <v>155</v>
      </c>
      <c r="M4" s="22" t="s">
        <v>156</v>
      </c>
    </row>
    <row r="5" spans="1:25" x14ac:dyDescent="0.3">
      <c r="A5" s="25" t="s">
        <v>125</v>
      </c>
      <c r="B5" s="27">
        <v>1.1452772245746701</v>
      </c>
      <c r="C5" s="27">
        <v>-0.98441522156765826</v>
      </c>
      <c r="D5" s="27">
        <v>2.7939545163813584</v>
      </c>
      <c r="E5" s="27">
        <v>5.0926580058541893</v>
      </c>
      <c r="F5" s="26"/>
      <c r="G5" s="25" t="s">
        <v>125</v>
      </c>
      <c r="H5" s="27">
        <v>1.6312037008220148</v>
      </c>
      <c r="I5" s="27">
        <v>-1.3304002307758855</v>
      </c>
      <c r="J5" s="27">
        <v>3.2047036814965679</v>
      </c>
      <c r="K5" s="27">
        <v>5.2470427799025332</v>
      </c>
    </row>
    <row r="6" spans="1:25" hidden="1" x14ac:dyDescent="0.3">
      <c r="A6" s="25" t="s">
        <v>123</v>
      </c>
      <c r="B6" s="27">
        <v>1.273610727767216</v>
      </c>
      <c r="C6" s="27">
        <v>-0.76335144321924009</v>
      </c>
      <c r="D6" s="27">
        <v>3.0735944797451786</v>
      </c>
      <c r="E6" s="27">
        <v>5.7731976761754122</v>
      </c>
      <c r="F6" s="26"/>
      <c r="G6" s="25" t="s">
        <v>123</v>
      </c>
      <c r="H6" s="27">
        <v>1.4574921848494959</v>
      </c>
      <c r="I6" s="27">
        <v>-1.3361369469064521</v>
      </c>
      <c r="J6" s="27">
        <v>3.1163406174100849</v>
      </c>
      <c r="K6" s="27">
        <v>5.4815955698374275</v>
      </c>
    </row>
    <row r="7" spans="1:25" hidden="1" x14ac:dyDescent="0.3">
      <c r="A7" s="25" t="s">
        <v>124</v>
      </c>
      <c r="B7" s="27">
        <v>1.023467769914066</v>
      </c>
      <c r="C7" s="27">
        <v>-1.0594402389949353</v>
      </c>
      <c r="D7" s="27">
        <v>2.6265601530497173</v>
      </c>
      <c r="E7" s="27">
        <v>4.6255879109487807</v>
      </c>
      <c r="F7" s="26"/>
      <c r="G7" s="25" t="s">
        <v>124</v>
      </c>
      <c r="H7" s="27">
        <v>1.5132564106143498</v>
      </c>
      <c r="I7" s="27">
        <v>-1.595104021283178</v>
      </c>
      <c r="J7" s="27">
        <v>3.0977632985072168</v>
      </c>
      <c r="K7" s="27">
        <v>4.8790585014292231</v>
      </c>
    </row>
    <row r="9" spans="1:25" x14ac:dyDescent="0.3">
      <c r="A9" s="186" t="s">
        <v>157</v>
      </c>
      <c r="B9" s="186"/>
      <c r="C9" s="186"/>
      <c r="D9" s="186"/>
      <c r="E9" s="186"/>
      <c r="F9" s="186"/>
      <c r="G9" s="186"/>
      <c r="H9" s="186"/>
      <c r="I9" s="186"/>
      <c r="J9" s="186"/>
      <c r="K9" s="186"/>
    </row>
    <row r="10" spans="1:25" x14ac:dyDescent="0.3">
      <c r="A10" s="186"/>
      <c r="B10" s="186"/>
      <c r="C10" s="186"/>
      <c r="D10" s="186"/>
      <c r="E10" s="186"/>
      <c r="F10" s="186"/>
      <c r="G10" s="186"/>
      <c r="H10" s="186"/>
      <c r="I10" s="186"/>
      <c r="J10" s="186"/>
      <c r="K10" s="186"/>
    </row>
    <row r="11" spans="1:25" x14ac:dyDescent="0.3">
      <c r="A11" s="186"/>
      <c r="B11" s="186"/>
      <c r="C11" s="186"/>
      <c r="D11" s="186"/>
      <c r="E11" s="186"/>
      <c r="F11" s="186"/>
      <c r="G11" s="186"/>
      <c r="H11" s="186"/>
      <c r="I11" s="186"/>
      <c r="J11" s="186"/>
      <c r="K11" s="186"/>
    </row>
    <row r="12" spans="1:25" x14ac:dyDescent="0.3">
      <c r="A12" s="186"/>
      <c r="B12" s="186"/>
      <c r="C12" s="186"/>
      <c r="D12" s="186"/>
      <c r="E12" s="186"/>
      <c r="F12" s="186"/>
      <c r="G12" s="186"/>
      <c r="H12" s="186"/>
      <c r="I12" s="186"/>
      <c r="J12" s="186"/>
      <c r="K12" s="186"/>
    </row>
    <row r="13" spans="1:25" x14ac:dyDescent="0.3">
      <c r="A13" s="186"/>
      <c r="B13" s="186"/>
      <c r="C13" s="186"/>
      <c r="D13" s="186"/>
      <c r="E13" s="186"/>
      <c r="F13" s="186"/>
      <c r="G13" s="186"/>
      <c r="H13" s="186"/>
      <c r="I13" s="186"/>
      <c r="J13" s="186"/>
      <c r="K13" s="186"/>
    </row>
    <row r="14" spans="1:25" x14ac:dyDescent="0.3">
      <c r="A14" s="186"/>
      <c r="B14" s="186"/>
      <c r="C14" s="186"/>
      <c r="D14" s="186"/>
      <c r="E14" s="186"/>
      <c r="F14" s="186"/>
      <c r="G14" s="186"/>
      <c r="H14" s="186"/>
      <c r="I14" s="186"/>
      <c r="J14" s="186"/>
      <c r="K14" s="186"/>
    </row>
    <row r="16" spans="1:25" x14ac:dyDescent="0.3">
      <c r="A16" s="187"/>
      <c r="B16" s="187"/>
      <c r="C16" s="187"/>
      <c r="D16" s="187"/>
      <c r="E16" s="187"/>
      <c r="F16" s="187"/>
      <c r="G16" s="187"/>
      <c r="H16" s="187"/>
      <c r="I16" s="187"/>
      <c r="J16" s="187"/>
      <c r="K16" s="187"/>
    </row>
    <row r="19" spans="1:9" x14ac:dyDescent="0.3">
      <c r="A19" s="183"/>
      <c r="B19" s="183"/>
      <c r="C19" s="183"/>
      <c r="D19" s="183"/>
      <c r="E19" s="183"/>
      <c r="F19" s="183"/>
      <c r="G19" s="183"/>
      <c r="H19" s="183"/>
      <c r="I19" s="183"/>
    </row>
    <row r="20" spans="1:9" x14ac:dyDescent="0.3">
      <c r="A20" s="183"/>
      <c r="B20" s="183"/>
      <c r="C20" s="183"/>
      <c r="D20" s="183"/>
      <c r="E20" s="183"/>
      <c r="F20" s="183"/>
      <c r="G20" s="183"/>
      <c r="H20" s="183"/>
      <c r="I20" s="183"/>
    </row>
    <row r="21" spans="1:9" x14ac:dyDescent="0.3">
      <c r="A21" s="183"/>
      <c r="B21" s="183"/>
      <c r="C21" s="183"/>
      <c r="D21" s="183"/>
      <c r="E21" s="183"/>
      <c r="F21" s="183"/>
      <c r="G21" s="183"/>
      <c r="H21" s="183"/>
      <c r="I21" s="183"/>
    </row>
    <row r="22" spans="1:9" x14ac:dyDescent="0.3">
      <c r="A22" s="28"/>
    </row>
  </sheetData>
  <mergeCells count="6">
    <mergeCell ref="A19:I21"/>
    <mergeCell ref="A1:Y1"/>
    <mergeCell ref="B3:E3"/>
    <mergeCell ref="H3:K3"/>
    <mergeCell ref="A9:K14"/>
    <mergeCell ref="A16:K16"/>
  </mergeCells>
  <hyperlinks>
    <hyperlink ref="M3" location="Index!A1" display="'Index" xr:uid="{32B86F00-F2E9-470A-8626-446CFB2BB15F}"/>
  </hyperlinks>
  <pageMargins left="0.7" right="0.7" top="0.75" bottom="0.75" header="0.3" footer="0.3"/>
  <headerFooter>
    <oddFooter>&amp;R_x000D_&amp;1#&amp;"Calibri"&amp;10&amp;K000000 Official Use Only</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731C7-BF5E-4B7A-93FD-F8B40A3B93A4}">
  <dimension ref="A1:AH34"/>
  <sheetViews>
    <sheetView showGridLines="0" topLeftCell="D7" zoomScale="70" zoomScaleNormal="100" workbookViewId="0">
      <selection activeCell="S25" sqref="S25"/>
    </sheetView>
  </sheetViews>
  <sheetFormatPr defaultRowHeight="14.4" x14ac:dyDescent="0.3"/>
  <cols>
    <col min="2" max="2" width="46.109375" bestFit="1" customWidth="1"/>
    <col min="3" max="3" width="12.88671875" bestFit="1" customWidth="1"/>
    <col min="5" max="5" width="13.88671875" bestFit="1" customWidth="1"/>
    <col min="6" max="6" width="16.88671875" bestFit="1" customWidth="1"/>
    <col min="7" max="7" width="12.5546875" bestFit="1" customWidth="1"/>
    <col min="8" max="8" width="13" bestFit="1" customWidth="1"/>
    <col min="9" max="9" width="12.5546875" bestFit="1" customWidth="1"/>
    <col min="10" max="11" width="13" bestFit="1" customWidth="1"/>
    <col min="12" max="12" width="12.5546875" bestFit="1" customWidth="1"/>
    <col min="13" max="13" width="13" bestFit="1" customWidth="1"/>
    <col min="14" max="14" width="64" bestFit="1" customWidth="1"/>
    <col min="15" max="15" width="12.44140625" bestFit="1" customWidth="1"/>
    <col min="16" max="16" width="17.109375" bestFit="1" customWidth="1"/>
    <col min="17" max="17" width="42" bestFit="1" customWidth="1"/>
    <col min="18" max="18" width="12" bestFit="1" customWidth="1"/>
    <col min="19" max="19" width="12.44140625" bestFit="1" customWidth="1"/>
    <col min="20" max="20" width="55.88671875" bestFit="1" customWidth="1"/>
    <col min="21" max="21" width="12.44140625" bestFit="1" customWidth="1"/>
    <col min="22" max="22" width="56.88671875" bestFit="1" customWidth="1"/>
    <col min="23" max="23" width="12.44140625" bestFit="1" customWidth="1"/>
    <col min="24" max="24" width="12" bestFit="1" customWidth="1"/>
    <col min="25" max="25" width="11.88671875" bestFit="1" customWidth="1"/>
    <col min="26" max="26" width="15.109375" bestFit="1" customWidth="1"/>
    <col min="27" max="27" width="10.109375" bestFit="1" customWidth="1"/>
    <col min="28" max="28" width="38.88671875" bestFit="1" customWidth="1"/>
    <col min="29" max="29" width="10" bestFit="1" customWidth="1"/>
    <col min="30" max="30" width="20.109375" bestFit="1" customWidth="1"/>
    <col min="31" max="31" width="17.88671875" bestFit="1" customWidth="1"/>
    <col min="32" max="32" width="20" bestFit="1" customWidth="1"/>
    <col min="33" max="33" width="13.109375" bestFit="1" customWidth="1"/>
    <col min="34" max="34" width="14.109375" bestFit="1" customWidth="1"/>
  </cols>
  <sheetData>
    <row r="1" spans="1:34" x14ac:dyDescent="0.3">
      <c r="A1" s="29" t="s">
        <v>158</v>
      </c>
      <c r="B1" s="30" t="s">
        <v>159</v>
      </c>
      <c r="C1" s="30" t="s">
        <v>160</v>
      </c>
    </row>
    <row r="2" spans="1:34" x14ac:dyDescent="0.3">
      <c r="A2" s="31" t="s">
        <v>161</v>
      </c>
      <c r="B2" s="31" t="s">
        <v>162</v>
      </c>
      <c r="C2" s="32">
        <v>648381</v>
      </c>
      <c r="E2" t="s">
        <v>163</v>
      </c>
      <c r="F2" t="s">
        <v>164</v>
      </c>
    </row>
    <row r="3" spans="1:34" x14ac:dyDescent="0.3">
      <c r="A3" s="31" t="s">
        <v>161</v>
      </c>
      <c r="B3" s="31" t="s">
        <v>165</v>
      </c>
      <c r="C3" s="32">
        <v>2712764</v>
      </c>
      <c r="E3" t="s">
        <v>166</v>
      </c>
      <c r="F3" t="s">
        <v>167</v>
      </c>
      <c r="G3" t="s">
        <v>154</v>
      </c>
      <c r="H3" t="s">
        <v>168</v>
      </c>
      <c r="I3" t="s">
        <v>155</v>
      </c>
      <c r="J3" t="s">
        <v>169</v>
      </c>
      <c r="K3" t="s">
        <v>170</v>
      </c>
      <c r="L3" t="s">
        <v>171</v>
      </c>
      <c r="M3" t="s">
        <v>172</v>
      </c>
      <c r="N3" t="s">
        <v>173</v>
      </c>
      <c r="O3" t="s">
        <v>174</v>
      </c>
      <c r="P3" t="s">
        <v>175</v>
      </c>
      <c r="Q3" t="s">
        <v>176</v>
      </c>
      <c r="R3" t="s">
        <v>177</v>
      </c>
      <c r="S3" t="s">
        <v>178</v>
      </c>
      <c r="T3" t="s">
        <v>179</v>
      </c>
      <c r="U3" t="s">
        <v>180</v>
      </c>
      <c r="V3" t="s">
        <v>181</v>
      </c>
      <c r="W3" t="s">
        <v>182</v>
      </c>
      <c r="X3" t="s">
        <v>165</v>
      </c>
      <c r="Y3" t="s">
        <v>183</v>
      </c>
      <c r="Z3" t="s">
        <v>184</v>
      </c>
      <c r="AA3" t="s">
        <v>185</v>
      </c>
      <c r="AB3" t="s">
        <v>186</v>
      </c>
      <c r="AC3" t="s">
        <v>162</v>
      </c>
      <c r="AD3" t="s">
        <v>187</v>
      </c>
      <c r="AE3" t="s">
        <v>188</v>
      </c>
      <c r="AF3" t="s">
        <v>189</v>
      </c>
      <c r="AG3" t="s">
        <v>153</v>
      </c>
      <c r="AH3" t="s">
        <v>190</v>
      </c>
    </row>
    <row r="4" spans="1:34" x14ac:dyDescent="0.3">
      <c r="A4" s="31" t="s">
        <v>161</v>
      </c>
      <c r="B4" s="31" t="s">
        <v>178</v>
      </c>
      <c r="C4" s="32">
        <v>5799377</v>
      </c>
      <c r="E4" s="33" t="s">
        <v>191</v>
      </c>
      <c r="F4" s="34"/>
      <c r="G4" s="34"/>
      <c r="H4" s="34"/>
      <c r="I4" s="34"/>
      <c r="J4" s="34">
        <v>14157797</v>
      </c>
      <c r="K4" s="34">
        <v>11940745</v>
      </c>
      <c r="L4" s="34"/>
      <c r="M4" s="34"/>
      <c r="N4" s="34"/>
      <c r="O4" s="34"/>
      <c r="P4" s="34"/>
      <c r="Q4" s="34"/>
      <c r="R4" s="34"/>
      <c r="S4" s="34"/>
      <c r="T4" s="34"/>
      <c r="U4" s="34"/>
      <c r="V4" s="34"/>
      <c r="W4" s="34"/>
      <c r="X4" s="34"/>
      <c r="Y4" s="34"/>
      <c r="Z4" s="34"/>
      <c r="AA4" s="34"/>
      <c r="AB4" s="34"/>
      <c r="AC4" s="34"/>
      <c r="AD4" s="34"/>
      <c r="AE4" s="34"/>
      <c r="AF4" s="34"/>
      <c r="AG4" s="34"/>
      <c r="AH4" s="34">
        <v>26098542</v>
      </c>
    </row>
    <row r="5" spans="1:34" x14ac:dyDescent="0.3">
      <c r="A5" s="31" t="s">
        <v>161</v>
      </c>
      <c r="B5" s="31" t="s">
        <v>177</v>
      </c>
      <c r="C5" s="32">
        <v>6862143</v>
      </c>
      <c r="E5" s="33" t="s">
        <v>161</v>
      </c>
      <c r="F5" s="34"/>
      <c r="G5" s="34"/>
      <c r="H5" s="34"/>
      <c r="I5" s="34"/>
      <c r="J5" s="34"/>
      <c r="K5" s="34"/>
      <c r="L5" s="34"/>
      <c r="M5" s="34">
        <v>10692196</v>
      </c>
      <c r="N5" s="34"/>
      <c r="O5" s="34"/>
      <c r="P5" s="34"/>
      <c r="Q5" s="34"/>
      <c r="R5" s="34">
        <v>6862143</v>
      </c>
      <c r="S5" s="34">
        <v>5799377</v>
      </c>
      <c r="T5" s="34"/>
      <c r="U5" s="34"/>
      <c r="V5" s="34"/>
      <c r="W5" s="34"/>
      <c r="X5" s="34">
        <v>2712764</v>
      </c>
      <c r="Y5" s="34"/>
      <c r="Z5" s="34"/>
      <c r="AA5" s="34"/>
      <c r="AB5" s="34"/>
      <c r="AC5" s="34">
        <v>648381</v>
      </c>
      <c r="AD5" s="34"/>
      <c r="AE5" s="34"/>
      <c r="AF5" s="34"/>
      <c r="AG5" s="34"/>
      <c r="AH5" s="34">
        <v>26714861</v>
      </c>
    </row>
    <row r="6" spans="1:34" x14ac:dyDescent="0.3">
      <c r="A6" s="31" t="s">
        <v>161</v>
      </c>
      <c r="B6" s="31" t="s">
        <v>172</v>
      </c>
      <c r="C6" s="32">
        <v>10692196</v>
      </c>
      <c r="E6" s="33" t="s">
        <v>192</v>
      </c>
      <c r="F6" s="34"/>
      <c r="G6" s="34"/>
      <c r="H6" s="34"/>
      <c r="I6" s="34"/>
      <c r="J6" s="34"/>
      <c r="K6" s="34"/>
      <c r="L6" s="34">
        <v>11071089</v>
      </c>
      <c r="M6" s="34"/>
      <c r="N6" s="34"/>
      <c r="O6" s="34">
        <v>7897949</v>
      </c>
      <c r="P6" s="34"/>
      <c r="Q6" s="34"/>
      <c r="R6" s="34"/>
      <c r="S6" s="34"/>
      <c r="T6" s="34"/>
      <c r="U6" s="34">
        <v>3447003</v>
      </c>
      <c r="V6" s="34"/>
      <c r="W6" s="34"/>
      <c r="X6" s="34"/>
      <c r="Y6" s="34"/>
      <c r="Z6" s="34"/>
      <c r="AA6" s="34"/>
      <c r="AB6" s="34"/>
      <c r="AC6" s="34"/>
      <c r="AD6" s="34"/>
      <c r="AE6" s="34"/>
      <c r="AF6" s="34"/>
      <c r="AG6" s="34"/>
      <c r="AH6" s="34">
        <v>22416041</v>
      </c>
    </row>
    <row r="7" spans="1:34" x14ac:dyDescent="0.3">
      <c r="A7" s="31" t="s">
        <v>192</v>
      </c>
      <c r="B7" s="31" t="s">
        <v>180</v>
      </c>
      <c r="C7" s="32">
        <v>3447003</v>
      </c>
      <c r="E7" s="33" t="s">
        <v>151</v>
      </c>
      <c r="F7" s="34"/>
      <c r="G7" s="34">
        <v>18818162</v>
      </c>
      <c r="H7" s="34"/>
      <c r="I7" s="34">
        <v>15198561</v>
      </c>
      <c r="J7" s="34"/>
      <c r="K7" s="34"/>
      <c r="L7" s="34"/>
      <c r="M7" s="34"/>
      <c r="N7" s="34"/>
      <c r="O7" s="34"/>
      <c r="P7" s="34"/>
      <c r="Q7" s="34"/>
      <c r="R7" s="34"/>
      <c r="S7" s="34"/>
      <c r="T7" s="34"/>
      <c r="U7" s="34"/>
      <c r="V7" s="34"/>
      <c r="W7" s="34"/>
      <c r="X7" s="34"/>
      <c r="Y7" s="34"/>
      <c r="Z7" s="34"/>
      <c r="AA7" s="34"/>
      <c r="AB7" s="34"/>
      <c r="AC7" s="34"/>
      <c r="AD7" s="34"/>
      <c r="AE7" s="34"/>
      <c r="AF7" s="34"/>
      <c r="AG7" s="34">
        <v>-7312667</v>
      </c>
      <c r="AH7" s="34">
        <v>26704056</v>
      </c>
    </row>
    <row r="8" spans="1:34" x14ac:dyDescent="0.3">
      <c r="A8" s="31" t="s">
        <v>192</v>
      </c>
      <c r="B8" s="31" t="s">
        <v>174</v>
      </c>
      <c r="C8" s="32">
        <v>7897949</v>
      </c>
      <c r="E8" s="33" t="s">
        <v>193</v>
      </c>
      <c r="F8" s="34"/>
      <c r="G8" s="34"/>
      <c r="H8" s="34">
        <v>18596310</v>
      </c>
      <c r="I8" s="34"/>
      <c r="J8" s="34"/>
      <c r="K8" s="34"/>
      <c r="L8" s="34"/>
      <c r="M8" s="34"/>
      <c r="N8" s="34"/>
      <c r="O8" s="34"/>
      <c r="P8" s="34">
        <v>7367341</v>
      </c>
      <c r="Q8" s="34"/>
      <c r="R8" s="34"/>
      <c r="S8" s="34"/>
      <c r="T8" s="34"/>
      <c r="U8" s="34"/>
      <c r="V8" s="34"/>
      <c r="W8" s="34"/>
      <c r="X8" s="34"/>
      <c r="Y8" s="34">
        <v>1634175</v>
      </c>
      <c r="Z8" s="34"/>
      <c r="AA8" s="34"/>
      <c r="AB8" s="34"/>
      <c r="AC8" s="34"/>
      <c r="AD8" s="34"/>
      <c r="AE8" s="34">
        <v>-917765</v>
      </c>
      <c r="AF8" s="34"/>
      <c r="AG8" s="34"/>
      <c r="AH8" s="34">
        <v>26680061</v>
      </c>
    </row>
    <row r="9" spans="1:34" x14ac:dyDescent="0.3">
      <c r="A9" s="31" t="s">
        <v>192</v>
      </c>
      <c r="B9" s="31" t="s">
        <v>171</v>
      </c>
      <c r="C9" s="32">
        <v>11071089</v>
      </c>
      <c r="E9" s="33" t="s">
        <v>167</v>
      </c>
      <c r="F9" s="34">
        <v>25894015</v>
      </c>
      <c r="G9" s="34"/>
      <c r="H9" s="34"/>
      <c r="I9" s="34"/>
      <c r="J9" s="34"/>
      <c r="K9" s="34"/>
      <c r="L9" s="34"/>
      <c r="M9" s="34"/>
      <c r="N9" s="34"/>
      <c r="O9" s="34"/>
      <c r="P9" s="34"/>
      <c r="Q9" s="34"/>
      <c r="R9" s="34"/>
      <c r="S9" s="34"/>
      <c r="T9" s="34"/>
      <c r="U9" s="34"/>
      <c r="V9" s="34"/>
      <c r="W9" s="34"/>
      <c r="X9" s="34"/>
      <c r="Y9" s="34"/>
      <c r="Z9" s="34"/>
      <c r="AA9" s="34">
        <v>820846</v>
      </c>
      <c r="AB9" s="34"/>
      <c r="AC9" s="34"/>
      <c r="AD9" s="34"/>
      <c r="AE9" s="34"/>
      <c r="AF9" s="34"/>
      <c r="AG9" s="34"/>
      <c r="AH9" s="34">
        <v>26714861</v>
      </c>
    </row>
    <row r="10" spans="1:34" x14ac:dyDescent="0.3">
      <c r="A10" s="31" t="s">
        <v>191</v>
      </c>
      <c r="B10" s="31" t="s">
        <v>170</v>
      </c>
      <c r="C10" s="32">
        <v>12201677</v>
      </c>
      <c r="E10" s="33" t="s">
        <v>194</v>
      </c>
      <c r="F10" s="34"/>
      <c r="G10" s="34"/>
      <c r="H10" s="34"/>
      <c r="I10" s="34"/>
      <c r="J10" s="34"/>
      <c r="K10" s="34"/>
      <c r="L10" s="34"/>
      <c r="M10" s="34"/>
      <c r="N10" s="34">
        <v>7950967</v>
      </c>
      <c r="O10" s="34"/>
      <c r="P10" s="34"/>
      <c r="Q10" s="34">
        <v>7337292</v>
      </c>
      <c r="R10" s="34"/>
      <c r="S10" s="34"/>
      <c r="T10" s="34">
        <v>4634842</v>
      </c>
      <c r="U10" s="34"/>
      <c r="V10" s="34">
        <v>3310643</v>
      </c>
      <c r="W10" s="34">
        <v>2889622</v>
      </c>
      <c r="X10" s="34"/>
      <c r="Y10" s="34"/>
      <c r="Z10" s="34">
        <v>1004913</v>
      </c>
      <c r="AA10" s="34"/>
      <c r="AB10" s="34">
        <v>703623</v>
      </c>
      <c r="AC10" s="34"/>
      <c r="AD10" s="34">
        <v>-19852</v>
      </c>
      <c r="AE10" s="34"/>
      <c r="AF10" s="34">
        <v>-1264774</v>
      </c>
      <c r="AG10" s="34"/>
      <c r="AH10" s="34">
        <v>26547276</v>
      </c>
    </row>
    <row r="11" spans="1:34" x14ac:dyDescent="0.3">
      <c r="A11" s="31" t="s">
        <v>191</v>
      </c>
      <c r="B11" s="31" t="s">
        <v>169</v>
      </c>
      <c r="C11" s="32">
        <v>14513184</v>
      </c>
      <c r="E11" s="33" t="s">
        <v>190</v>
      </c>
      <c r="F11" s="34">
        <v>25894015</v>
      </c>
      <c r="G11" s="34">
        <v>18818162</v>
      </c>
      <c r="H11" s="34">
        <v>18596310</v>
      </c>
      <c r="I11" s="34">
        <v>15198561</v>
      </c>
      <c r="J11" s="34">
        <v>14157797</v>
      </c>
      <c r="K11" s="34">
        <v>11940745</v>
      </c>
      <c r="L11" s="34">
        <v>11071089</v>
      </c>
      <c r="M11" s="34">
        <v>10692196</v>
      </c>
      <c r="N11" s="34">
        <v>7950967</v>
      </c>
      <c r="O11" s="34">
        <v>7897949</v>
      </c>
      <c r="P11" s="34">
        <v>7367341</v>
      </c>
      <c r="Q11" s="34">
        <v>7337292</v>
      </c>
      <c r="R11" s="34">
        <v>6862143</v>
      </c>
      <c r="S11" s="34">
        <v>5799377</v>
      </c>
      <c r="T11" s="34">
        <v>4634842</v>
      </c>
      <c r="U11" s="34">
        <v>3447003</v>
      </c>
      <c r="V11" s="34">
        <v>3310643</v>
      </c>
      <c r="W11" s="34">
        <v>2889622</v>
      </c>
      <c r="X11" s="34">
        <v>2712764</v>
      </c>
      <c r="Y11" s="34">
        <v>1634175</v>
      </c>
      <c r="Z11" s="34">
        <v>1004913</v>
      </c>
      <c r="AA11" s="34">
        <v>820846</v>
      </c>
      <c r="AB11" s="34">
        <v>703623</v>
      </c>
      <c r="AC11" s="34">
        <v>648381</v>
      </c>
      <c r="AD11" s="34">
        <v>-19852</v>
      </c>
      <c r="AE11" s="34">
        <v>-917765</v>
      </c>
      <c r="AF11" s="34">
        <v>-1264774</v>
      </c>
      <c r="AG11" s="34">
        <v>-7312667</v>
      </c>
      <c r="AH11" s="34">
        <v>181875698</v>
      </c>
    </row>
    <row r="12" spans="1:34" x14ac:dyDescent="0.3">
      <c r="A12" s="31" t="s">
        <v>193</v>
      </c>
      <c r="B12" s="31" t="s">
        <v>188</v>
      </c>
      <c r="C12" s="32">
        <v>-917765</v>
      </c>
    </row>
    <row r="13" spans="1:34" x14ac:dyDescent="0.3">
      <c r="A13" s="31" t="s">
        <v>193</v>
      </c>
      <c r="B13" s="31" t="s">
        <v>183</v>
      </c>
      <c r="C13" s="32">
        <v>1634175</v>
      </c>
      <c r="E13" s="24" t="s">
        <v>0</v>
      </c>
    </row>
    <row r="14" spans="1:34" x14ac:dyDescent="0.3">
      <c r="A14" s="31" t="s">
        <v>193</v>
      </c>
      <c r="B14" s="31" t="s">
        <v>175</v>
      </c>
      <c r="C14" s="32">
        <v>7367341</v>
      </c>
    </row>
    <row r="15" spans="1:34" x14ac:dyDescent="0.3">
      <c r="A15" s="31" t="s">
        <v>193</v>
      </c>
      <c r="B15" s="31" t="s">
        <v>168</v>
      </c>
      <c r="C15" s="32">
        <v>18596310</v>
      </c>
      <c r="E15" s="22" t="s">
        <v>195</v>
      </c>
    </row>
    <row r="16" spans="1:34" x14ac:dyDescent="0.3">
      <c r="A16" s="31" t="s">
        <v>194</v>
      </c>
      <c r="B16" s="31" t="s">
        <v>189</v>
      </c>
      <c r="C16" s="32">
        <v>-1264774</v>
      </c>
    </row>
    <row r="17" spans="1:3" x14ac:dyDescent="0.3">
      <c r="A17" s="31" t="s">
        <v>194</v>
      </c>
      <c r="B17" s="31" t="s">
        <v>187</v>
      </c>
      <c r="C17" s="32">
        <v>-19852</v>
      </c>
    </row>
    <row r="18" spans="1:3" x14ac:dyDescent="0.3">
      <c r="A18" s="31" t="s">
        <v>194</v>
      </c>
      <c r="B18" s="31" t="s">
        <v>186</v>
      </c>
      <c r="C18" s="32">
        <v>703623</v>
      </c>
    </row>
    <row r="19" spans="1:3" x14ac:dyDescent="0.3">
      <c r="A19" s="31" t="s">
        <v>194</v>
      </c>
      <c r="B19" s="31" t="s">
        <v>184</v>
      </c>
      <c r="C19" s="32">
        <v>1004913</v>
      </c>
    </row>
    <row r="20" spans="1:3" x14ac:dyDescent="0.3">
      <c r="A20" s="31" t="s">
        <v>194</v>
      </c>
      <c r="B20" s="31" t="s">
        <v>182</v>
      </c>
      <c r="C20" s="32">
        <v>2889622</v>
      </c>
    </row>
    <row r="21" spans="1:3" x14ac:dyDescent="0.3">
      <c r="A21" s="31" t="s">
        <v>194</v>
      </c>
      <c r="B21" s="31" t="s">
        <v>181</v>
      </c>
      <c r="C21" s="32">
        <v>3310643</v>
      </c>
    </row>
    <row r="22" spans="1:3" x14ac:dyDescent="0.3">
      <c r="A22" s="31" t="s">
        <v>194</v>
      </c>
      <c r="B22" s="31" t="s">
        <v>179</v>
      </c>
      <c r="C22" s="32">
        <v>4634842</v>
      </c>
    </row>
    <row r="23" spans="1:3" x14ac:dyDescent="0.3">
      <c r="A23" s="31" t="s">
        <v>194</v>
      </c>
      <c r="B23" s="31" t="s">
        <v>176</v>
      </c>
      <c r="C23" s="32">
        <v>7337292</v>
      </c>
    </row>
    <row r="24" spans="1:3" x14ac:dyDescent="0.3">
      <c r="A24" s="31" t="s">
        <v>194</v>
      </c>
      <c r="B24" s="31" t="s">
        <v>173</v>
      </c>
      <c r="C24" s="32">
        <v>7950967</v>
      </c>
    </row>
    <row r="25" spans="1:3" x14ac:dyDescent="0.3">
      <c r="A25" s="31" t="s">
        <v>151</v>
      </c>
      <c r="B25" s="31" t="s">
        <v>153</v>
      </c>
      <c r="C25" s="32">
        <v>-7312667</v>
      </c>
    </row>
    <row r="26" spans="1:3" x14ac:dyDescent="0.3">
      <c r="A26" s="31" t="s">
        <v>151</v>
      </c>
      <c r="B26" s="31" t="s">
        <v>155</v>
      </c>
      <c r="C26" s="32">
        <v>15198561</v>
      </c>
    </row>
    <row r="27" spans="1:3" x14ac:dyDescent="0.3">
      <c r="A27" s="31" t="s">
        <v>151</v>
      </c>
      <c r="B27" s="31" t="s">
        <v>154</v>
      </c>
      <c r="C27" s="32">
        <v>18818162</v>
      </c>
    </row>
    <row r="28" spans="1:3" x14ac:dyDescent="0.3">
      <c r="A28" s="31" t="s">
        <v>167</v>
      </c>
      <c r="B28" s="31" t="s">
        <v>185</v>
      </c>
      <c r="C28" s="32">
        <v>820846</v>
      </c>
    </row>
    <row r="29" spans="1:3" x14ac:dyDescent="0.3">
      <c r="A29" s="31" t="s">
        <v>167</v>
      </c>
      <c r="B29" s="31" t="s">
        <v>167</v>
      </c>
      <c r="C29" s="32">
        <v>25894015</v>
      </c>
    </row>
    <row r="32" spans="1:3" x14ac:dyDescent="0.3">
      <c r="B32">
        <f>+C11/C33</f>
        <v>0.54326256835100128</v>
      </c>
      <c r="C32" s="34">
        <f>+C24+C23</f>
        <v>15288259</v>
      </c>
    </row>
    <row r="33" spans="2:3" x14ac:dyDescent="0.3">
      <c r="C33" s="34">
        <f>+C29+C28</f>
        <v>26714861</v>
      </c>
    </row>
    <row r="34" spans="2:3" x14ac:dyDescent="0.3">
      <c r="B34" s="34"/>
      <c r="C34">
        <f>+C32/C33</f>
        <v>0.57227544623945448</v>
      </c>
    </row>
  </sheetData>
  <autoFilter ref="A1:C1" xr:uid="{8F2824C4-CB07-4079-9D03-479E208684DF}">
    <sortState xmlns:xlrd2="http://schemas.microsoft.com/office/spreadsheetml/2017/richdata2" ref="A2:C29">
      <sortCondition ref="A1"/>
    </sortState>
  </autoFilter>
  <hyperlinks>
    <hyperlink ref="E13" location="Index!A1" display="'Index" xr:uid="{604979EA-2D93-4205-AE8A-89032382FE68}"/>
  </hyperlinks>
  <pageMargins left="0.7" right="0.7" top="0.75" bottom="0.75" header="0.3" footer="0.3"/>
  <headerFooter>
    <oddFooter>&amp;R_x000D_&amp;1#&amp;"Calibri"&amp;10&amp;K000000 Official Use Only</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94442-E0AB-4B44-A7E6-B67BA56005F3}">
  <dimension ref="A1:K37"/>
  <sheetViews>
    <sheetView showGridLines="0" zoomScale="55" zoomScaleNormal="55" workbookViewId="0">
      <selection sqref="A1:G1048576"/>
    </sheetView>
  </sheetViews>
  <sheetFormatPr defaultRowHeight="14.4" x14ac:dyDescent="0.3"/>
  <cols>
    <col min="1" max="1" width="7.5546875" bestFit="1" customWidth="1"/>
    <col min="2" max="2" width="8.44140625" bestFit="1" customWidth="1"/>
    <col min="3" max="3" width="15.5546875" bestFit="1" customWidth="1"/>
    <col min="4" max="4" width="17.88671875" bestFit="1" customWidth="1"/>
    <col min="5" max="5" width="22.88671875" bestFit="1" customWidth="1"/>
    <col min="6" max="6" width="9.5546875" bestFit="1" customWidth="1"/>
    <col min="7" max="7" width="12" bestFit="1" customWidth="1"/>
    <col min="8" max="27" width="9" bestFit="1" customWidth="1"/>
  </cols>
  <sheetData>
    <row r="1" spans="1:11" s="5" customFormat="1" x14ac:dyDescent="0.3">
      <c r="A1" s="5" t="s">
        <v>196</v>
      </c>
      <c r="B1" s="5" t="s">
        <v>197</v>
      </c>
      <c r="C1" s="5" t="s">
        <v>198</v>
      </c>
      <c r="D1" s="5" t="s">
        <v>199</v>
      </c>
      <c r="E1" s="5" t="s">
        <v>200</v>
      </c>
      <c r="F1" s="5" t="s">
        <v>201</v>
      </c>
      <c r="G1" s="5" t="s">
        <v>202</v>
      </c>
      <c r="J1"/>
      <c r="K1"/>
    </row>
    <row r="2" spans="1:11" x14ac:dyDescent="0.3">
      <c r="A2" t="s">
        <v>203</v>
      </c>
      <c r="B2" s="36">
        <v>62.6</v>
      </c>
      <c r="C2" s="36">
        <v>56.97</v>
      </c>
      <c r="D2" s="36">
        <v>9.06</v>
      </c>
      <c r="E2" s="36">
        <v>20.399999999999999</v>
      </c>
      <c r="F2" s="36">
        <v>23</v>
      </c>
      <c r="G2" s="36">
        <v>24.1</v>
      </c>
    </row>
    <row r="3" spans="1:11" x14ac:dyDescent="0.3">
      <c r="A3" t="s">
        <v>204</v>
      </c>
      <c r="B3" s="36">
        <v>63.07</v>
      </c>
      <c r="C3" s="36">
        <v>57.63</v>
      </c>
      <c r="D3" s="36">
        <v>8.5399999999999991</v>
      </c>
      <c r="E3" s="36">
        <v>19.37</v>
      </c>
      <c r="F3" s="36">
        <v>21.51</v>
      </c>
      <c r="G3" s="36">
        <v>22.67</v>
      </c>
    </row>
    <row r="4" spans="1:11" x14ac:dyDescent="0.3">
      <c r="A4" t="s">
        <v>205</v>
      </c>
      <c r="B4" s="36">
        <v>62.93</v>
      </c>
      <c r="C4" s="36">
        <v>57.39</v>
      </c>
      <c r="D4" s="36">
        <v>8.76</v>
      </c>
      <c r="E4" s="36">
        <v>19.649999999999999</v>
      </c>
      <c r="F4" s="36">
        <v>21.83</v>
      </c>
      <c r="G4" s="36">
        <v>23</v>
      </c>
    </row>
    <row r="5" spans="1:11" x14ac:dyDescent="0.3">
      <c r="A5" t="s">
        <v>206</v>
      </c>
      <c r="B5" s="36">
        <v>63.05</v>
      </c>
      <c r="C5" s="36">
        <v>57.61</v>
      </c>
      <c r="D5" s="36">
        <v>8.5399999999999991</v>
      </c>
      <c r="E5" s="36">
        <v>19.350000000000001</v>
      </c>
      <c r="F5" s="36">
        <v>21.93</v>
      </c>
      <c r="G5" s="36">
        <v>23.03</v>
      </c>
    </row>
    <row r="6" spans="1:11" x14ac:dyDescent="0.3">
      <c r="A6" t="s">
        <v>207</v>
      </c>
      <c r="B6" s="36">
        <v>62.81</v>
      </c>
      <c r="C6" s="36">
        <v>56.62</v>
      </c>
      <c r="D6" s="36">
        <v>9.74</v>
      </c>
      <c r="E6" s="36">
        <v>21.33</v>
      </c>
      <c r="F6" s="36">
        <v>23.42</v>
      </c>
      <c r="G6" s="36">
        <v>24.43</v>
      </c>
      <c r="I6" s="24" t="s">
        <v>0</v>
      </c>
    </row>
    <row r="7" spans="1:11" x14ac:dyDescent="0.3">
      <c r="A7" t="s">
        <v>208</v>
      </c>
      <c r="B7" s="36">
        <v>63.03</v>
      </c>
      <c r="C7" s="36">
        <v>57.18</v>
      </c>
      <c r="D7" s="36">
        <v>9.18</v>
      </c>
      <c r="E7" s="36">
        <v>20.239999999999998</v>
      </c>
      <c r="F7" s="36">
        <v>22.03</v>
      </c>
      <c r="G7" s="36">
        <v>23.17</v>
      </c>
      <c r="I7" s="38" t="s">
        <v>209</v>
      </c>
    </row>
    <row r="8" spans="1:11" x14ac:dyDescent="0.3">
      <c r="A8" t="s">
        <v>210</v>
      </c>
      <c r="B8" s="36">
        <v>63.15</v>
      </c>
      <c r="C8" s="36">
        <v>57.47</v>
      </c>
      <c r="D8" s="36">
        <v>8.89</v>
      </c>
      <c r="E8" s="36">
        <v>20.14</v>
      </c>
      <c r="F8" s="36">
        <v>21.66</v>
      </c>
      <c r="G8" s="36">
        <v>22.81</v>
      </c>
    </row>
    <row r="9" spans="1:11" x14ac:dyDescent="0.3">
      <c r="A9" t="s">
        <v>211</v>
      </c>
      <c r="B9" s="36">
        <v>63.23</v>
      </c>
      <c r="C9" s="36">
        <v>57.85</v>
      </c>
      <c r="D9" s="36">
        <v>8.41</v>
      </c>
      <c r="E9" s="36">
        <v>18.940000000000001</v>
      </c>
      <c r="F9" s="36">
        <v>21.97</v>
      </c>
      <c r="G9" s="36">
        <v>22.98</v>
      </c>
    </row>
    <row r="10" spans="1:11" x14ac:dyDescent="0.3">
      <c r="A10" t="s">
        <v>212</v>
      </c>
      <c r="B10" s="36">
        <v>62.87</v>
      </c>
      <c r="C10" s="36">
        <v>56.88</v>
      </c>
      <c r="D10" s="36">
        <v>9.3800000000000008</v>
      </c>
      <c r="E10" s="36">
        <v>21.18</v>
      </c>
      <c r="F10" s="36">
        <v>23.4</v>
      </c>
      <c r="G10" s="36">
        <v>24.18</v>
      </c>
    </row>
    <row r="11" spans="1:11" x14ac:dyDescent="0.3">
      <c r="A11" t="s">
        <v>213</v>
      </c>
      <c r="B11" s="36">
        <v>63.14</v>
      </c>
      <c r="C11" s="36">
        <v>57.45</v>
      </c>
      <c r="D11" s="36">
        <v>8.94</v>
      </c>
      <c r="E11" s="36">
        <v>20.059999999999999</v>
      </c>
      <c r="F11" s="36">
        <v>21.87</v>
      </c>
      <c r="G11" s="36">
        <v>23</v>
      </c>
    </row>
    <row r="12" spans="1:11" x14ac:dyDescent="0.3">
      <c r="A12" t="s">
        <v>214</v>
      </c>
      <c r="B12" s="36">
        <v>63.37</v>
      </c>
      <c r="C12" s="36">
        <v>57.8</v>
      </c>
      <c r="D12" s="36">
        <v>8.6999999999999993</v>
      </c>
      <c r="E12" s="36">
        <v>19.670000000000002</v>
      </c>
      <c r="F12" s="36">
        <v>21.38</v>
      </c>
      <c r="G12" s="36">
        <v>22.63</v>
      </c>
    </row>
    <row r="13" spans="1:11" x14ac:dyDescent="0.3">
      <c r="A13" t="s">
        <v>215</v>
      </c>
      <c r="B13" s="36">
        <v>63.4</v>
      </c>
      <c r="C13" s="36">
        <v>57.97</v>
      </c>
      <c r="D13" s="36">
        <v>8.49</v>
      </c>
      <c r="E13" s="36">
        <v>19.309999999999999</v>
      </c>
      <c r="F13" s="36">
        <v>21.84</v>
      </c>
      <c r="G13" s="36">
        <v>22.98</v>
      </c>
    </row>
    <row r="14" spans="1:11" x14ac:dyDescent="0.3">
      <c r="A14" t="s">
        <v>216</v>
      </c>
      <c r="B14" s="36">
        <v>63.28</v>
      </c>
      <c r="C14" s="36">
        <v>57.22</v>
      </c>
      <c r="D14" s="36">
        <v>9.44</v>
      </c>
      <c r="E14" s="36">
        <v>21.16</v>
      </c>
      <c r="F14" s="36">
        <v>23.1</v>
      </c>
      <c r="G14" s="36">
        <v>24.04</v>
      </c>
    </row>
    <row r="15" spans="1:11" x14ac:dyDescent="0.3">
      <c r="A15" t="s">
        <v>217</v>
      </c>
      <c r="B15" s="36">
        <v>63.64</v>
      </c>
      <c r="C15" s="36">
        <v>57.88</v>
      </c>
      <c r="D15" s="36">
        <v>8.9600000000000009</v>
      </c>
      <c r="E15" s="36">
        <v>20.16</v>
      </c>
      <c r="F15" s="36">
        <v>21.56</v>
      </c>
      <c r="G15" s="36">
        <v>22.64</v>
      </c>
    </row>
    <row r="16" spans="1:11" x14ac:dyDescent="0.3">
      <c r="A16" t="s">
        <v>218</v>
      </c>
      <c r="B16" s="36">
        <v>63.66</v>
      </c>
      <c r="C16" s="36">
        <v>57.96</v>
      </c>
      <c r="D16" s="36">
        <v>8.8699999999999992</v>
      </c>
      <c r="E16" s="36">
        <v>20.36</v>
      </c>
      <c r="F16" s="36">
        <v>21.46</v>
      </c>
      <c r="G16" s="36">
        <v>22.63</v>
      </c>
    </row>
    <row r="17" spans="1:7" x14ac:dyDescent="0.3">
      <c r="A17" t="s">
        <v>219</v>
      </c>
      <c r="B17" s="36">
        <v>63.65</v>
      </c>
      <c r="C17" s="36">
        <v>58.35</v>
      </c>
      <c r="D17" s="36">
        <v>8.25</v>
      </c>
      <c r="E17" s="36">
        <v>18.84</v>
      </c>
      <c r="F17" s="36">
        <v>21.41</v>
      </c>
      <c r="G17" s="36">
        <v>22.41</v>
      </c>
    </row>
    <row r="18" spans="1:7" x14ac:dyDescent="0.3">
      <c r="A18" t="s">
        <v>220</v>
      </c>
      <c r="B18" s="36">
        <v>62.97</v>
      </c>
      <c r="C18" s="36">
        <v>56.99</v>
      </c>
      <c r="D18" s="36">
        <v>9.41</v>
      </c>
      <c r="E18" s="36">
        <v>21.24</v>
      </c>
      <c r="F18" s="36">
        <v>24.26</v>
      </c>
      <c r="G18" s="36">
        <v>24.77</v>
      </c>
    </row>
    <row r="19" spans="1:7" x14ac:dyDescent="0.3">
      <c r="A19" t="s">
        <v>221</v>
      </c>
      <c r="B19" s="36">
        <v>56.87</v>
      </c>
      <c r="C19" s="36">
        <v>49.94</v>
      </c>
      <c r="D19" s="36">
        <v>12.24</v>
      </c>
      <c r="E19" s="36">
        <v>25.93</v>
      </c>
      <c r="F19" s="36">
        <v>27.64</v>
      </c>
      <c r="G19" s="36">
        <v>29.33</v>
      </c>
    </row>
    <row r="20" spans="1:7" x14ac:dyDescent="0.3">
      <c r="A20" t="s">
        <v>222</v>
      </c>
      <c r="B20" s="36">
        <v>57.91</v>
      </c>
      <c r="C20" s="36">
        <v>50.76</v>
      </c>
      <c r="D20" s="36">
        <v>12.23</v>
      </c>
      <c r="E20" s="36">
        <v>25.09</v>
      </c>
      <c r="F20" s="36">
        <v>24.67</v>
      </c>
      <c r="G20" s="36">
        <v>27.04</v>
      </c>
    </row>
    <row r="21" spans="1:7" x14ac:dyDescent="0.3">
      <c r="A21" t="s">
        <v>223</v>
      </c>
      <c r="B21" s="36">
        <v>60.24</v>
      </c>
      <c r="C21" s="36">
        <v>53.5</v>
      </c>
      <c r="D21" s="36">
        <v>11.09</v>
      </c>
      <c r="E21" s="36">
        <v>23.49</v>
      </c>
      <c r="F21" s="36">
        <v>22.84</v>
      </c>
      <c r="G21" s="36">
        <v>24.96</v>
      </c>
    </row>
    <row r="22" spans="1:7" x14ac:dyDescent="0.3">
      <c r="A22" t="s">
        <v>224</v>
      </c>
      <c r="B22" s="36">
        <v>60.16</v>
      </c>
      <c r="C22" s="36">
        <v>53.14</v>
      </c>
      <c r="D22" s="36">
        <v>11.57</v>
      </c>
      <c r="E22" s="36">
        <v>24.23</v>
      </c>
      <c r="F22" s="36">
        <v>24.01</v>
      </c>
      <c r="G22" s="36">
        <v>25.79</v>
      </c>
    </row>
    <row r="23" spans="1:7" x14ac:dyDescent="0.3">
      <c r="A23" t="s">
        <v>225</v>
      </c>
      <c r="B23" s="36">
        <v>61.02</v>
      </c>
      <c r="C23" s="36">
        <v>54.34</v>
      </c>
      <c r="D23" s="36">
        <v>10.9</v>
      </c>
      <c r="E23" s="36">
        <v>22.81</v>
      </c>
      <c r="F23" s="36">
        <v>22.73</v>
      </c>
      <c r="G23" s="36">
        <v>24.46</v>
      </c>
    </row>
    <row r="24" spans="1:7" x14ac:dyDescent="0.3">
      <c r="A24" t="s">
        <v>226</v>
      </c>
      <c r="B24" s="36">
        <v>61.85</v>
      </c>
      <c r="C24" s="36">
        <v>55.77</v>
      </c>
      <c r="D24" s="36">
        <v>9.7799999999999994</v>
      </c>
      <c r="E24" s="36">
        <v>20.7</v>
      </c>
      <c r="F24" s="36">
        <v>20.53</v>
      </c>
      <c r="G24" s="36">
        <v>22.51</v>
      </c>
    </row>
    <row r="25" spans="1:7" x14ac:dyDescent="0.3">
      <c r="A25" t="s">
        <v>227</v>
      </c>
      <c r="B25" s="36">
        <v>62.3</v>
      </c>
      <c r="C25" s="36">
        <v>56.99</v>
      </c>
      <c r="D25" s="36">
        <v>8.48</v>
      </c>
      <c r="E25" s="36">
        <v>18.41</v>
      </c>
      <c r="F25" s="36">
        <v>20.32</v>
      </c>
      <c r="G25" s="36">
        <v>21.87</v>
      </c>
    </row>
    <row r="26" spans="1:7" x14ac:dyDescent="0.3">
      <c r="A26" t="s">
        <v>228</v>
      </c>
      <c r="B26" s="36">
        <v>62</v>
      </c>
      <c r="C26" s="36">
        <v>56.57</v>
      </c>
      <c r="D26" s="36">
        <v>8.69</v>
      </c>
      <c r="E26" s="36">
        <v>18.62</v>
      </c>
      <c r="F26" s="36">
        <v>21.78</v>
      </c>
      <c r="G26" s="36">
        <v>22.94</v>
      </c>
    </row>
    <row r="27" spans="1:7" x14ac:dyDescent="0.3">
      <c r="A27" t="s">
        <v>229</v>
      </c>
      <c r="B27" s="36">
        <v>62.71</v>
      </c>
      <c r="C27" s="36">
        <v>58.01</v>
      </c>
      <c r="D27" s="36">
        <v>7.45</v>
      </c>
      <c r="E27" s="36">
        <v>16.420000000000002</v>
      </c>
      <c r="F27" s="36">
        <v>19.61</v>
      </c>
      <c r="G27" s="36">
        <v>20.96</v>
      </c>
    </row>
    <row r="28" spans="1:7" x14ac:dyDescent="0.3">
      <c r="A28" t="s">
        <v>230</v>
      </c>
      <c r="B28" s="36">
        <v>62.73</v>
      </c>
      <c r="C28" s="36">
        <v>58.17</v>
      </c>
      <c r="D28" s="36">
        <v>7.24</v>
      </c>
      <c r="E28" s="36">
        <v>16.260000000000002</v>
      </c>
      <c r="F28" s="36">
        <v>19.190000000000001</v>
      </c>
      <c r="G28" s="36">
        <v>20.55</v>
      </c>
    </row>
    <row r="29" spans="1:7" x14ac:dyDescent="0.3">
      <c r="A29" t="s">
        <v>231</v>
      </c>
      <c r="B29" s="36">
        <v>62.48</v>
      </c>
      <c r="C29" s="36">
        <v>58.35</v>
      </c>
      <c r="D29" s="36">
        <v>6.59</v>
      </c>
      <c r="E29" s="36">
        <v>14.87</v>
      </c>
      <c r="F29" s="36">
        <v>18.87</v>
      </c>
      <c r="G29" s="36">
        <v>20.260000000000002</v>
      </c>
    </row>
    <row r="30" spans="1:7" x14ac:dyDescent="0.3">
      <c r="A30" t="s">
        <v>232</v>
      </c>
      <c r="B30" s="36">
        <v>62.39</v>
      </c>
      <c r="C30" s="36">
        <v>57.88</v>
      </c>
      <c r="D30" s="36">
        <v>7.2</v>
      </c>
      <c r="E30" s="36">
        <v>16.04</v>
      </c>
      <c r="F30" s="36">
        <v>20.73</v>
      </c>
      <c r="G30" s="36">
        <v>21.78</v>
      </c>
    </row>
    <row r="31" spans="1:7" x14ac:dyDescent="0.3">
      <c r="A31" t="s">
        <v>233</v>
      </c>
      <c r="B31" s="36">
        <v>62.3</v>
      </c>
      <c r="C31" s="36">
        <v>58.16</v>
      </c>
      <c r="D31" s="36">
        <v>6.63</v>
      </c>
      <c r="E31" s="36">
        <v>14.75</v>
      </c>
      <c r="F31" s="36">
        <v>19.09</v>
      </c>
      <c r="G31" s="36">
        <v>20.41</v>
      </c>
    </row>
    <row r="32" spans="1:7" x14ac:dyDescent="0.3">
      <c r="A32" t="s">
        <v>234</v>
      </c>
      <c r="B32" s="36">
        <v>62.66</v>
      </c>
      <c r="C32" s="36">
        <v>58.65</v>
      </c>
      <c r="D32" s="36">
        <v>6.4</v>
      </c>
      <c r="E32" s="36">
        <v>14.63</v>
      </c>
      <c r="F32" s="36">
        <v>18.57</v>
      </c>
      <c r="G32" s="36">
        <v>20.03</v>
      </c>
    </row>
    <row r="33" spans="1:7" x14ac:dyDescent="0.3">
      <c r="A33" t="s">
        <v>235</v>
      </c>
      <c r="B33" s="36">
        <v>62.82</v>
      </c>
      <c r="C33" s="36">
        <v>58.94</v>
      </c>
      <c r="D33" s="36">
        <v>6.15</v>
      </c>
      <c r="E33" s="36">
        <v>14.24</v>
      </c>
      <c r="F33" s="36">
        <v>18.68</v>
      </c>
      <c r="G33" s="36">
        <v>19.95</v>
      </c>
    </row>
    <row r="34" spans="1:7" x14ac:dyDescent="0.3">
      <c r="A34" t="s">
        <v>236</v>
      </c>
      <c r="B34" s="36">
        <v>62.54</v>
      </c>
      <c r="C34" s="36">
        <v>58.28</v>
      </c>
      <c r="D34" s="36">
        <v>6.78</v>
      </c>
      <c r="E34" s="36">
        <v>15.26</v>
      </c>
      <c r="F34" s="36">
        <v>19.86</v>
      </c>
      <c r="G34" s="36">
        <v>21.16</v>
      </c>
    </row>
    <row r="35" spans="1:7" x14ac:dyDescent="0.3">
      <c r="A35" t="s">
        <v>237</v>
      </c>
      <c r="B35" s="36">
        <v>62.76</v>
      </c>
      <c r="C35" s="36">
        <v>58.88</v>
      </c>
      <c r="D35" s="36">
        <v>6.15</v>
      </c>
      <c r="E35" s="36">
        <v>13.98</v>
      </c>
      <c r="F35" s="36">
        <v>18.34</v>
      </c>
      <c r="G35" s="36">
        <v>19.73</v>
      </c>
    </row>
    <row r="36" spans="1:7" x14ac:dyDescent="0.3">
      <c r="B36" s="36">
        <v>-0.31000000000000227</v>
      </c>
      <c r="C36" s="36">
        <v>1.25</v>
      </c>
      <c r="D36" s="36">
        <v>-2.3899999999999988</v>
      </c>
      <c r="E36" s="36">
        <v>-5.3900000000000006</v>
      </c>
      <c r="F36" s="36">
        <v>-3.1700000000000017</v>
      </c>
      <c r="G36" s="36">
        <v>-2.9400000000000013</v>
      </c>
    </row>
    <row r="37" spans="1:7" x14ac:dyDescent="0.3">
      <c r="B37" s="36">
        <f>+B35-B17</f>
        <v>-0.89000000000000057</v>
      </c>
      <c r="C37" s="36"/>
      <c r="D37" s="36"/>
      <c r="E37" s="36"/>
      <c r="F37" s="36"/>
      <c r="G37" s="36"/>
    </row>
  </sheetData>
  <hyperlinks>
    <hyperlink ref="I6" location="Index!A1" display="'Index" xr:uid="{D36EDBD1-7221-45FE-91E3-A97A2DDE5172}"/>
  </hyperlinks>
  <pageMargins left="0.7" right="0.7" top="0.75" bottom="0.75" header="0.3" footer="0.3"/>
  <headerFooter>
    <oddFooter>&amp;R_x000D_&amp;1#&amp;"Calibri"&amp;10&amp;K000000 Official Use Only</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86DF7-AA3F-4BA0-9FF5-E87870390EA4}">
  <dimension ref="A1:N30"/>
  <sheetViews>
    <sheetView showGridLines="0" topLeftCell="B47" zoomScaleNormal="100" workbookViewId="0">
      <selection activeCell="J48" sqref="J48"/>
    </sheetView>
  </sheetViews>
  <sheetFormatPr defaultRowHeight="14.4" x14ac:dyDescent="0.3"/>
  <cols>
    <col min="1" max="1" width="0" hidden="1" customWidth="1"/>
    <col min="2" max="2" width="44.109375" bestFit="1" customWidth="1"/>
    <col min="3" max="4" width="11.88671875" bestFit="1" customWidth="1"/>
    <col min="5" max="5" width="12" bestFit="1" customWidth="1"/>
    <col min="6" max="9" width="14.88671875" bestFit="1" customWidth="1"/>
    <col min="10" max="10" width="13.109375" bestFit="1" customWidth="1"/>
    <col min="11" max="11" width="14.88671875" hidden="1" customWidth="1"/>
    <col min="12" max="12" width="13.109375" bestFit="1" customWidth="1"/>
    <col min="13" max="13" width="15.88671875" bestFit="1" customWidth="1"/>
    <col min="14" max="14" width="13.5546875" bestFit="1" customWidth="1"/>
  </cols>
  <sheetData>
    <row r="1" spans="1:14" x14ac:dyDescent="0.3">
      <c r="D1" s="188" t="s">
        <v>191</v>
      </c>
      <c r="E1" s="188"/>
      <c r="F1" s="188" t="s">
        <v>161</v>
      </c>
      <c r="G1" s="188"/>
      <c r="H1" s="188"/>
      <c r="I1" s="188"/>
      <c r="J1" s="188"/>
      <c r="K1" s="188"/>
      <c r="L1" s="188" t="s">
        <v>151</v>
      </c>
      <c r="M1" s="188"/>
      <c r="N1" s="188"/>
    </row>
    <row r="2" spans="1:14" s="5" customFormat="1" x14ac:dyDescent="0.3">
      <c r="A2" s="5" t="s">
        <v>196</v>
      </c>
      <c r="B2" s="39" t="s">
        <v>238</v>
      </c>
      <c r="C2" s="39" t="s">
        <v>152</v>
      </c>
      <c r="D2" s="39" t="s">
        <v>239</v>
      </c>
      <c r="E2" s="39" t="s">
        <v>240</v>
      </c>
      <c r="F2" s="39" t="s">
        <v>162</v>
      </c>
      <c r="G2" s="39" t="s">
        <v>172</v>
      </c>
      <c r="H2" s="39" t="s">
        <v>241</v>
      </c>
      <c r="I2" s="39" t="s">
        <v>178</v>
      </c>
      <c r="J2" s="39" t="s">
        <v>242</v>
      </c>
      <c r="K2" s="39" t="s">
        <v>243</v>
      </c>
      <c r="L2" s="39" t="s">
        <v>153</v>
      </c>
      <c r="M2" s="39" t="s">
        <v>154</v>
      </c>
      <c r="N2" s="39" t="s">
        <v>155</v>
      </c>
    </row>
    <row r="3" spans="1:14" hidden="1" x14ac:dyDescent="0.3">
      <c r="A3" t="s">
        <v>203</v>
      </c>
      <c r="B3" s="40"/>
      <c r="C3" s="41">
        <v>57.699031778084823</v>
      </c>
      <c r="D3" s="41">
        <v>70.931952386013393</v>
      </c>
      <c r="E3" s="41">
        <v>45.419235838027433</v>
      </c>
      <c r="F3" s="41">
        <v>40.457910511212667</v>
      </c>
      <c r="G3" s="41">
        <v>73.982392390264636</v>
      </c>
      <c r="H3" s="41">
        <v>71.775643532787754</v>
      </c>
      <c r="I3" s="41">
        <v>53.489338930810931</v>
      </c>
      <c r="J3" s="41">
        <v>20.488245297056011</v>
      </c>
      <c r="K3" s="41">
        <v>73.366863641194612</v>
      </c>
      <c r="L3" s="41">
        <v>49.493694335210968</v>
      </c>
      <c r="M3" s="41">
        <v>63.922973748538638</v>
      </c>
      <c r="N3" s="41">
        <v>77.304237432245728</v>
      </c>
    </row>
    <row r="4" spans="1:14" x14ac:dyDescent="0.3">
      <c r="A4" t="s">
        <v>204</v>
      </c>
      <c r="B4" s="40">
        <v>2016</v>
      </c>
      <c r="C4" s="41">
        <v>57.634903102827501</v>
      </c>
      <c r="D4" s="41">
        <v>70.490361114052746</v>
      </c>
      <c r="E4" s="41">
        <v>45.743336863284981</v>
      </c>
      <c r="F4" s="41">
        <v>39.803773165307639</v>
      </c>
      <c r="G4" s="41">
        <v>74.262599809382621</v>
      </c>
      <c r="H4" s="41">
        <v>72.319147516679024</v>
      </c>
      <c r="I4" s="41">
        <v>54.35204913692683</v>
      </c>
      <c r="J4" s="41">
        <v>20.26936037276289</v>
      </c>
      <c r="K4" s="41">
        <v>73.717301704966658</v>
      </c>
      <c r="L4" s="41">
        <v>48.932234459387907</v>
      </c>
      <c r="M4" s="41">
        <v>64.154570581383041</v>
      </c>
      <c r="N4" s="41">
        <v>77.518996081753684</v>
      </c>
    </row>
    <row r="5" spans="1:14" hidden="1" x14ac:dyDescent="0.3">
      <c r="A5" t="s">
        <v>205</v>
      </c>
      <c r="B5" s="40"/>
      <c r="C5" s="41">
        <v>57.387309402795417</v>
      </c>
      <c r="D5" s="41">
        <v>70.15674396442185</v>
      </c>
      <c r="E5" s="41">
        <v>45.587819779754341</v>
      </c>
      <c r="F5" s="41">
        <v>39.614356204997883</v>
      </c>
      <c r="G5" s="41">
        <v>73.918080262600583</v>
      </c>
      <c r="H5" s="41">
        <v>71.929276789495972</v>
      </c>
      <c r="I5" s="41">
        <v>54.364603981363828</v>
      </c>
      <c r="J5" s="41">
        <v>20.20056543837357</v>
      </c>
      <c r="K5" s="41">
        <v>73.35376641253707</v>
      </c>
      <c r="L5" s="41">
        <v>48.361745023295207</v>
      </c>
      <c r="M5" s="41">
        <v>64.216758788648875</v>
      </c>
      <c r="N5" s="41">
        <v>77.654617746717491</v>
      </c>
    </row>
    <row r="6" spans="1:14" hidden="1" x14ac:dyDescent="0.3">
      <c r="A6" t="s">
        <v>206</v>
      </c>
      <c r="B6" s="40"/>
      <c r="C6" s="41">
        <v>57.612732471933917</v>
      </c>
      <c r="D6" s="41">
        <v>70.370091082397792</v>
      </c>
      <c r="E6" s="41">
        <v>45.841906375767842</v>
      </c>
      <c r="F6" s="41">
        <v>39.791914848549041</v>
      </c>
      <c r="G6" s="41">
        <v>74.209559415378095</v>
      </c>
      <c r="H6" s="41">
        <v>72.051613005719119</v>
      </c>
      <c r="I6" s="41">
        <v>54.751901080279602</v>
      </c>
      <c r="J6" s="41">
        <v>20.582850031772931</v>
      </c>
      <c r="K6" s="41">
        <v>73.601676551578052</v>
      </c>
      <c r="L6" s="41">
        <v>48.519610252065227</v>
      </c>
      <c r="M6" s="41">
        <v>64.414257572548195</v>
      </c>
      <c r="N6" s="41">
        <v>77.770218174115641</v>
      </c>
    </row>
    <row r="7" spans="1:14" hidden="1" x14ac:dyDescent="0.3">
      <c r="A7" t="s">
        <v>216</v>
      </c>
      <c r="B7" s="40"/>
      <c r="C7" s="41">
        <v>57.216923984132087</v>
      </c>
      <c r="D7" s="41">
        <v>69.554508416425435</v>
      </c>
      <c r="E7" s="41">
        <v>45.826291412029597</v>
      </c>
      <c r="F7" s="41">
        <v>39.275597727029059</v>
      </c>
      <c r="G7" s="41">
        <v>73.75586469389944</v>
      </c>
      <c r="H7" s="41">
        <v>72.312943068510776</v>
      </c>
      <c r="I7" s="41">
        <v>54.517693792216143</v>
      </c>
      <c r="J7" s="41">
        <v>20.73304706765305</v>
      </c>
      <c r="K7" s="41">
        <v>73.349470354883678</v>
      </c>
      <c r="L7" s="41">
        <v>47.680730138308142</v>
      </c>
      <c r="M7" s="41">
        <v>63.208685536614126</v>
      </c>
      <c r="N7" s="41">
        <v>76.408205210678688</v>
      </c>
    </row>
    <row r="8" spans="1:14" x14ac:dyDescent="0.3">
      <c r="A8" t="s">
        <v>217</v>
      </c>
      <c r="B8" s="40">
        <v>2019</v>
      </c>
      <c r="C8" s="41">
        <v>57.873920643431639</v>
      </c>
      <c r="D8" s="41">
        <v>69.803454155495984</v>
      </c>
      <c r="E8" s="41">
        <v>46.841337265415547</v>
      </c>
      <c r="F8" s="41">
        <v>40.021329758713136</v>
      </c>
      <c r="G8" s="41">
        <v>74.657463806970512</v>
      </c>
      <c r="H8" s="41">
        <v>72.916633780160851</v>
      </c>
      <c r="I8" s="41">
        <v>54.672159785522787</v>
      </c>
      <c r="J8" s="41">
        <v>21.06836568364611</v>
      </c>
      <c r="K8" s="41">
        <v>74.159286863270765</v>
      </c>
      <c r="L8" s="41">
        <v>47.929969973190353</v>
      </c>
      <c r="M8" s="41">
        <v>64.265679356568356</v>
      </c>
      <c r="N8" s="41">
        <v>77.147648257372666</v>
      </c>
    </row>
    <row r="9" spans="1:14" hidden="1" x14ac:dyDescent="0.3">
      <c r="A9" t="s">
        <v>218</v>
      </c>
      <c r="B9" s="40"/>
      <c r="C9" s="41">
        <v>57.953558486115583</v>
      </c>
      <c r="D9" s="41">
        <v>70.026184196418995</v>
      </c>
      <c r="E9" s="41">
        <v>46.793137128765949</v>
      </c>
      <c r="F9" s="41">
        <v>40.177565133483427</v>
      </c>
      <c r="G9" s="41">
        <v>74.773592795110972</v>
      </c>
      <c r="H9" s="41">
        <v>72.934192130374186</v>
      </c>
      <c r="I9" s="41">
        <v>55.059028626568029</v>
      </c>
      <c r="J9" s="41">
        <v>21.06740002144312</v>
      </c>
      <c r="K9" s="41">
        <v>74.249784496622709</v>
      </c>
      <c r="L9" s="41">
        <v>47.776473678567598</v>
      </c>
      <c r="M9" s="41">
        <v>64.510694757156642</v>
      </c>
      <c r="N9" s="41">
        <v>77.340688324220011</v>
      </c>
    </row>
    <row r="10" spans="1:14" hidden="1" x14ac:dyDescent="0.3">
      <c r="A10" t="s">
        <v>219</v>
      </c>
      <c r="B10" s="40"/>
      <c r="C10" s="41">
        <v>58.347578518597921</v>
      </c>
      <c r="D10" s="41">
        <v>70.358136992174934</v>
      </c>
      <c r="E10" s="41">
        <v>47.263456962161001</v>
      </c>
      <c r="F10" s="41">
        <v>40.708738342802008</v>
      </c>
      <c r="G10" s="41">
        <v>75.249306463715286</v>
      </c>
      <c r="H10" s="41">
        <v>73.168671883374429</v>
      </c>
      <c r="I10" s="41">
        <v>55.509142458998816</v>
      </c>
      <c r="J10" s="41">
        <v>21.341139457605319</v>
      </c>
      <c r="K10" s="41">
        <v>74.650837174402398</v>
      </c>
      <c r="L10" s="41">
        <v>48.135301747239787</v>
      </c>
      <c r="M10" s="41">
        <v>64.859537999785616</v>
      </c>
      <c r="N10" s="41">
        <v>77.530783578089824</v>
      </c>
    </row>
    <row r="11" spans="1:14" hidden="1" x14ac:dyDescent="0.3">
      <c r="A11" t="s">
        <v>232</v>
      </c>
      <c r="B11" s="40"/>
      <c r="C11" s="41">
        <v>57.86085040214477</v>
      </c>
      <c r="D11" s="41">
        <v>69.799631099195707</v>
      </c>
      <c r="E11" s="41">
        <v>46.910078284182298</v>
      </c>
      <c r="F11" s="41">
        <v>40.788671313672921</v>
      </c>
      <c r="G11" s="41">
        <v>75.18765254691688</v>
      </c>
      <c r="H11" s="41">
        <v>72.864428954423587</v>
      </c>
      <c r="I11" s="41">
        <v>54.850125469168901</v>
      </c>
      <c r="J11" s="41">
        <v>19.55256514745308</v>
      </c>
      <c r="K11" s="41">
        <v>74.502998391420917</v>
      </c>
      <c r="L11" s="41">
        <v>46.228178016085792</v>
      </c>
      <c r="M11" s="41">
        <v>63.639946380697047</v>
      </c>
      <c r="N11" s="41">
        <v>77.021028418230557</v>
      </c>
    </row>
    <row r="12" spans="1:14" x14ac:dyDescent="0.3">
      <c r="A12" t="s">
        <v>233</v>
      </c>
      <c r="B12" s="40">
        <v>2023</v>
      </c>
      <c r="C12" s="41">
        <v>58.132992387691658</v>
      </c>
      <c r="D12" s="41">
        <v>69.858423930524282</v>
      </c>
      <c r="E12" s="41">
        <v>47.398815267502947</v>
      </c>
      <c r="F12" s="41">
        <v>41.180303420177978</v>
      </c>
      <c r="G12" s="41">
        <v>75.747096601265142</v>
      </c>
      <c r="H12" s="41">
        <v>72.970559665487301</v>
      </c>
      <c r="I12" s="41">
        <v>54.995733890854517</v>
      </c>
      <c r="J12" s="41">
        <v>19.617112683606731</v>
      </c>
      <c r="K12" s="41">
        <v>74.932359815589152</v>
      </c>
      <c r="L12" s="41">
        <v>46.143809370644369</v>
      </c>
      <c r="M12" s="41">
        <v>64.09802937707731</v>
      </c>
      <c r="N12" s="41">
        <v>77.80575104535221</v>
      </c>
    </row>
    <row r="13" spans="1:14" hidden="1" x14ac:dyDescent="0.3">
      <c r="A13" t="s">
        <v>234</v>
      </c>
      <c r="B13" s="40"/>
      <c r="C13" s="41">
        <v>58.624346240480527</v>
      </c>
      <c r="D13" s="41">
        <v>70.434708784725942</v>
      </c>
      <c r="E13" s="41">
        <v>47.801597125388817</v>
      </c>
      <c r="F13" s="41">
        <v>41.643554649790843</v>
      </c>
      <c r="G13" s="41">
        <v>76.167381744073793</v>
      </c>
      <c r="H13" s="41">
        <v>73.627243376595516</v>
      </c>
      <c r="I13" s="41">
        <v>55.513941864206799</v>
      </c>
      <c r="J13" s="41">
        <v>20.226610533090209</v>
      </c>
      <c r="K13" s="41">
        <v>75.424008366405658</v>
      </c>
      <c r="L13" s="41">
        <v>46.417604848224812</v>
      </c>
      <c r="M13" s="41">
        <v>64.464143516035605</v>
      </c>
      <c r="N13" s="41">
        <v>78.224993027995282</v>
      </c>
    </row>
    <row r="14" spans="1:14" hidden="1" x14ac:dyDescent="0.3">
      <c r="A14" t="s">
        <v>235</v>
      </c>
      <c r="B14" s="40"/>
      <c r="C14" s="41">
        <v>58.917537257424677</v>
      </c>
      <c r="D14" s="41">
        <v>70.731847324970516</v>
      </c>
      <c r="E14" s="41">
        <v>48.10699152996677</v>
      </c>
      <c r="F14" s="41">
        <v>41.74433365498016</v>
      </c>
      <c r="G14" s="41">
        <v>76.693354776455465</v>
      </c>
      <c r="H14" s="41">
        <v>73.919492870161889</v>
      </c>
      <c r="I14" s="41">
        <v>56.098780958507561</v>
      </c>
      <c r="J14" s="41">
        <v>20.09794574890104</v>
      </c>
      <c r="K14" s="41">
        <v>75.876180979950675</v>
      </c>
      <c r="L14" s="41">
        <v>46.477535113112467</v>
      </c>
      <c r="M14" s="41">
        <v>64.990850219792009</v>
      </c>
      <c r="N14" s="41">
        <v>78.322872306207799</v>
      </c>
    </row>
    <row r="15" spans="1:14" hidden="1" x14ac:dyDescent="0.3">
      <c r="A15" t="s">
        <v>236</v>
      </c>
      <c r="B15" s="40"/>
      <c r="C15" s="41">
        <v>58.253634607127523</v>
      </c>
      <c r="D15" s="41">
        <v>70.160317732932583</v>
      </c>
      <c r="E15" s="41">
        <v>47.364030699871194</v>
      </c>
      <c r="F15" s="41">
        <v>41.445651567196222</v>
      </c>
      <c r="G15" s="41">
        <v>75.806531773293258</v>
      </c>
      <c r="H15" s="41">
        <v>73.373294332331469</v>
      </c>
      <c r="I15" s="41">
        <v>55.702074924860447</v>
      </c>
      <c r="J15" s="41">
        <v>19.641822670674109</v>
      </c>
      <c r="K15" s="41">
        <v>75.085080506655217</v>
      </c>
      <c r="L15" s="41">
        <v>46.111009016745378</v>
      </c>
      <c r="M15" s="41">
        <v>63.970066552168298</v>
      </c>
      <c r="N15" s="41">
        <v>77.118661442679254</v>
      </c>
    </row>
    <row r="16" spans="1:14" x14ac:dyDescent="0.3">
      <c r="A16" t="s">
        <v>237</v>
      </c>
      <c r="B16" s="40">
        <v>2024</v>
      </c>
      <c r="C16" s="41">
        <v>58.86044434903939</v>
      </c>
      <c r="D16" s="41">
        <v>70.6694397338199</v>
      </c>
      <c r="E16" s="41">
        <v>48.072903295052058</v>
      </c>
      <c r="F16" s="41">
        <v>42.034090372437483</v>
      </c>
      <c r="G16" s="41">
        <v>76.691538048728134</v>
      </c>
      <c r="H16" s="41">
        <v>73.966463453901468</v>
      </c>
      <c r="I16" s="41">
        <v>56.01883116883117</v>
      </c>
      <c r="J16" s="41">
        <v>19.945782977353229</v>
      </c>
      <c r="K16" s="41">
        <v>75.886403348717394</v>
      </c>
      <c r="L16" s="41">
        <v>46.264390898357838</v>
      </c>
      <c r="M16" s="41">
        <v>64.836037351078673</v>
      </c>
      <c r="N16" s="41">
        <v>78.127681657185789</v>
      </c>
    </row>
    <row r="17" spans="1:14" hidden="1" x14ac:dyDescent="0.3">
      <c r="A17" t="s">
        <v>244</v>
      </c>
      <c r="B17" s="6"/>
      <c r="C17" s="42">
        <v>58.781277937596798</v>
      </c>
      <c r="D17" s="42">
        <v>70.76067935383935</v>
      </c>
      <c r="E17" s="42">
        <v>47.838753042708561</v>
      </c>
      <c r="F17" s="42">
        <v>41.974410267758351</v>
      </c>
      <c r="G17" s="42">
        <v>76.603219738880284</v>
      </c>
      <c r="H17" s="42">
        <v>73.988678911263548</v>
      </c>
      <c r="I17" s="42">
        <v>56.034592830272182</v>
      </c>
      <c r="J17" s="42">
        <v>19.40649479973445</v>
      </c>
      <c r="K17" s="42">
        <v>75.828206461606555</v>
      </c>
      <c r="L17" s="42">
        <v>45.803074795308689</v>
      </c>
      <c r="M17" s="42">
        <v>64.998899092719626</v>
      </c>
      <c r="N17" s="42">
        <v>77.820796636423978</v>
      </c>
    </row>
    <row r="18" spans="1:14" hidden="1" x14ac:dyDescent="0.3">
      <c r="A18" t="s">
        <v>245</v>
      </c>
      <c r="B18" s="6"/>
      <c r="C18" s="42">
        <v>57.818714555765602</v>
      </c>
      <c r="D18" s="42">
        <v>70.255075614366731</v>
      </c>
      <c r="E18" s="42">
        <v>46.274026465028363</v>
      </c>
      <c r="F18" s="42">
        <v>34.822618147448019</v>
      </c>
      <c r="G18" s="42">
        <v>76.026105860113432</v>
      </c>
      <c r="H18" s="42">
        <v>74.438572778827975</v>
      </c>
      <c r="I18" s="42">
        <v>58.532693761814741</v>
      </c>
      <c r="J18" s="42">
        <v>22.967863894139889</v>
      </c>
      <c r="K18" s="42">
        <v>75.571058601134212</v>
      </c>
      <c r="L18" s="42">
        <v>46.816701323251422</v>
      </c>
      <c r="M18" s="42">
        <v>61.224328922495282</v>
      </c>
      <c r="N18" s="42">
        <v>74.059688090737225</v>
      </c>
    </row>
    <row r="19" spans="1:14" x14ac:dyDescent="0.3">
      <c r="B19" s="43" t="s">
        <v>123</v>
      </c>
      <c r="C19" s="44">
        <v>1.6314967646053</v>
      </c>
      <c r="D19" s="44">
        <v>1.1590739586973871</v>
      </c>
      <c r="E19" s="44">
        <v>2.2994936673337518</v>
      </c>
      <c r="F19" s="44">
        <v>-0.25134145482927922</v>
      </c>
      <c r="G19" s="44">
        <v>1.166930317698589</v>
      </c>
      <c r="H19" s="44">
        <v>2.1233818714731401</v>
      </c>
      <c r="I19" s="44">
        <v>3.943500836039493</v>
      </c>
      <c r="J19" s="44">
        <v>5.7411924188756069</v>
      </c>
      <c r="K19" s="44">
        <v>1.435066463219026</v>
      </c>
      <c r="L19" s="44">
        <v>-1.1239900247340451</v>
      </c>
      <c r="M19" s="44">
        <v>3.3494476309837262</v>
      </c>
      <c r="N19" s="44">
        <v>5.4422432559142031</v>
      </c>
    </row>
    <row r="20" spans="1:14" x14ac:dyDescent="0.3">
      <c r="B20" s="43" t="s">
        <v>246</v>
      </c>
      <c r="C20" s="44">
        <v>2.2368854895233659</v>
      </c>
      <c r="D20" s="44">
        <v>2.0556595649154019</v>
      </c>
      <c r="E20" s="44">
        <v>2.4825193863693862</v>
      </c>
      <c r="F20" s="44">
        <v>0.37456012411316569</v>
      </c>
      <c r="G20" s="44">
        <v>1.638662122717149</v>
      </c>
      <c r="H20" s="44">
        <v>3.0558874417869091</v>
      </c>
      <c r="I20" s="44">
        <v>3.8532593106734851</v>
      </c>
      <c r="J20" s="44">
        <v>6.5904225214215906</v>
      </c>
      <c r="K20" s="44">
        <v>2.0461268561973389</v>
      </c>
      <c r="L20" s="44">
        <v>-1.1597571748267139</v>
      </c>
      <c r="M20" s="44">
        <v>3.6652721788155369</v>
      </c>
      <c r="N20" s="44">
        <v>5.6991573847085419</v>
      </c>
    </row>
    <row r="22" spans="1:14" x14ac:dyDescent="0.3">
      <c r="B22" s="31" t="s">
        <v>247</v>
      </c>
      <c r="C22" s="44">
        <v>0.13804591618939988</v>
      </c>
      <c r="D22" s="44">
        <v>-0.32588396415361709</v>
      </c>
      <c r="E22" s="44">
        <v>0.79379898275184768</v>
      </c>
      <c r="F22" s="44">
        <v>0.18185999882776027</v>
      </c>
      <c r="G22" s="44">
        <v>0.17692450426389783</v>
      </c>
      <c r="H22" s="44">
        <v>0.27463834858960645</v>
      </c>
      <c r="I22" s="44">
        <v>0.19593511987496814</v>
      </c>
      <c r="J22" s="44">
        <v>1.2970818717139787</v>
      </c>
      <c r="K22" s="44">
        <v>0.19945781394798967</v>
      </c>
      <c r="L22" s="44">
        <v>-0.68747215725541988</v>
      </c>
      <c r="M22" s="44">
        <v>5.7696431722686903E-2</v>
      </c>
      <c r="N22" s="44">
        <v>-0.15993601390452694</v>
      </c>
    </row>
    <row r="23" spans="1:14" x14ac:dyDescent="0.3">
      <c r="B23" s="31" t="s">
        <v>248</v>
      </c>
      <c r="C23" s="45">
        <v>1.2513581900211124</v>
      </c>
      <c r="D23" s="45">
        <v>1.1609420276961657</v>
      </c>
      <c r="E23" s="45">
        <v>1.4221621864276335</v>
      </c>
      <c r="F23" s="45">
        <v>2.0732896102002796</v>
      </c>
      <c r="G23" s="45">
        <v>1.2468351789568288</v>
      </c>
      <c r="H23" s="45">
        <v>1.3648021790974463</v>
      </c>
      <c r="I23" s="45">
        <v>1.8603211660146446</v>
      </c>
      <c r="J23" s="45">
        <v>1.6754264455092649</v>
      </c>
      <c r="K23" s="45">
        <v>1.2732063096320134</v>
      </c>
      <c r="L23" s="45">
        <v>0.26131680361478615</v>
      </c>
      <c r="M23" s="45">
        <v>1.1513738896086645</v>
      </c>
      <c r="N23" s="45">
        <v>0.41376197454341401</v>
      </c>
    </row>
    <row r="24" spans="1:14" x14ac:dyDescent="0.3">
      <c r="B24" s="31" t="s">
        <v>249</v>
      </c>
      <c r="C24" s="45">
        <v>7.967251353471265E-2</v>
      </c>
      <c r="D24" s="45">
        <v>-0.22896898618558717</v>
      </c>
      <c r="E24" s="45">
        <v>0.366000134043522</v>
      </c>
      <c r="F24" s="45">
        <v>7.2518864468499089E-2</v>
      </c>
      <c r="G24" s="45">
        <v>0.13162133252929684</v>
      </c>
      <c r="H24" s="45">
        <v>0.19916208782727551</v>
      </c>
      <c r="I24" s="45">
        <v>0.10670354953198569</v>
      </c>
      <c r="J24" s="45">
        <v>0.26633510362774021</v>
      </c>
      <c r="K24" s="45">
        <v>0.14732838610136886</v>
      </c>
      <c r="L24" s="45">
        <v>-0.33408816206585118</v>
      </c>
      <c r="M24" s="45">
        <v>3.7036258395104937E-2</v>
      </c>
      <c r="N24" s="45">
        <v>-0.12378260812700621</v>
      </c>
    </row>
    <row r="25" spans="1:14" x14ac:dyDescent="0.3">
      <c r="B25" s="31" t="s">
        <v>250</v>
      </c>
      <c r="C25" s="45">
        <v>0.72745196134773238</v>
      </c>
      <c r="D25" s="45">
        <v>0.81101580329561784</v>
      </c>
      <c r="E25" s="45">
        <v>0.67408802754911079</v>
      </c>
      <c r="F25" s="45">
        <v>0.85378695225950452</v>
      </c>
      <c r="G25" s="45">
        <v>0.9444414474629923</v>
      </c>
      <c r="H25" s="45">
        <v>0.99590378841416793</v>
      </c>
      <c r="I25" s="45">
        <v>1.0230972779766532</v>
      </c>
      <c r="J25" s="45">
        <v>0.32867029374649803</v>
      </c>
      <c r="K25" s="45">
        <v>0.95404353312824242</v>
      </c>
      <c r="L25" s="45">
        <v>0.12058152771346897</v>
      </c>
      <c r="M25" s="45">
        <v>0.73800797400136275</v>
      </c>
      <c r="N25" s="45">
        <v>0.32193061183357941</v>
      </c>
    </row>
    <row r="26" spans="1:14" x14ac:dyDescent="0.3">
      <c r="C26" s="46"/>
      <c r="D26" s="46"/>
      <c r="E26" s="46"/>
      <c r="F26" s="46"/>
      <c r="G26" s="46"/>
      <c r="H26" s="46"/>
      <c r="I26" s="46"/>
      <c r="J26" s="46"/>
      <c r="K26" s="46"/>
      <c r="L26" s="46"/>
      <c r="M26" s="46"/>
      <c r="N26" s="46"/>
    </row>
    <row r="27" spans="1:14" x14ac:dyDescent="0.3">
      <c r="C27" s="46">
        <v>1.2255412462118898</v>
      </c>
      <c r="D27" s="46">
        <v>0.17907861976715367</v>
      </c>
      <c r="E27" s="46">
        <v>2.329566431767077</v>
      </c>
      <c r="F27" s="46">
        <v>2.2303172071298434</v>
      </c>
      <c r="G27" s="46">
        <v>2.4289382393455128</v>
      </c>
      <c r="H27" s="46">
        <v>1.6473159372224444</v>
      </c>
      <c r="I27" s="46">
        <v>1.66678203190434</v>
      </c>
      <c r="J27" s="46">
        <v>-0.3235773954096608</v>
      </c>
      <c r="K27" s="46">
        <v>2.1691016437507358</v>
      </c>
      <c r="L27" s="46">
        <v>-2.6678435610300699</v>
      </c>
      <c r="M27" s="46">
        <v>0.68146676969563202</v>
      </c>
      <c r="N27" s="46">
        <v>0.608685575432105</v>
      </c>
    </row>
    <row r="28" spans="1:14" x14ac:dyDescent="0.3">
      <c r="C28" s="46"/>
      <c r="D28" s="46"/>
      <c r="E28" s="46"/>
      <c r="F28" s="46"/>
      <c r="G28" s="46"/>
      <c r="H28" s="46"/>
      <c r="I28" s="46"/>
      <c r="J28" s="46"/>
      <c r="K28" s="46"/>
      <c r="L28" s="46"/>
      <c r="M28" s="46"/>
      <c r="N28" s="46"/>
    </row>
    <row r="29" spans="1:14" x14ac:dyDescent="0.3">
      <c r="B29" s="24" t="s">
        <v>0</v>
      </c>
    </row>
    <row r="30" spans="1:14" x14ac:dyDescent="0.3">
      <c r="B30" s="47" t="s">
        <v>251</v>
      </c>
    </row>
  </sheetData>
  <mergeCells count="3">
    <mergeCell ref="D1:E1"/>
    <mergeCell ref="F1:K1"/>
    <mergeCell ref="L1:N1"/>
  </mergeCells>
  <hyperlinks>
    <hyperlink ref="B29" location="Index!A1" display="'Index" xr:uid="{8735494D-6BBC-4307-92CC-6B652136D01C}"/>
  </hyperlinks>
  <pageMargins left="0.7" right="0.7" top="0.75" bottom="0.75" header="0.3" footer="0.3"/>
  <headerFooter>
    <oddFooter>&amp;R_x000D_&amp;1#&amp;"Calibri"&amp;10&amp;K000000 Official Use Only</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56644-B6DB-40FE-94E0-1B0AFD642C47}">
  <dimension ref="A1:U21"/>
  <sheetViews>
    <sheetView showGridLines="0" zoomScaleNormal="100" workbookViewId="0">
      <selection activeCell="AI14" sqref="AI14"/>
    </sheetView>
  </sheetViews>
  <sheetFormatPr defaultRowHeight="14.4" x14ac:dyDescent="0.3"/>
  <cols>
    <col min="1" max="1" width="21.5546875" bestFit="1" customWidth="1"/>
    <col min="2" max="2" width="17.109375" hidden="1" customWidth="1"/>
    <col min="3" max="3" width="12.88671875" hidden="1" customWidth="1"/>
    <col min="4" max="5" width="12" hidden="1" customWidth="1"/>
    <col min="6" max="6" width="9.109375" hidden="1" customWidth="1"/>
    <col min="7" max="7" width="16.88671875" customWidth="1"/>
    <col min="8" max="8" width="16.88671875" hidden="1" customWidth="1"/>
    <col min="9" max="9" width="10.44140625" hidden="1" customWidth="1"/>
    <col min="10" max="12" width="9.88671875" hidden="1" customWidth="1"/>
    <col min="13" max="13" width="14.5546875" customWidth="1"/>
    <col min="14" max="14" width="16.88671875" hidden="1" customWidth="1"/>
    <col min="15" max="15" width="10.44140625" hidden="1" customWidth="1"/>
    <col min="16" max="17" width="9.88671875" hidden="1" customWidth="1"/>
    <col min="18" max="18" width="9" hidden="1" customWidth="1"/>
    <col min="19" max="19" width="14.5546875" customWidth="1"/>
  </cols>
  <sheetData>
    <row r="1" spans="1:21" x14ac:dyDescent="0.3">
      <c r="A1" s="48" t="s">
        <v>119</v>
      </c>
      <c r="B1" s="49" t="s">
        <v>252</v>
      </c>
      <c r="C1" s="49" t="s">
        <v>253</v>
      </c>
      <c r="D1" s="49" t="s">
        <v>254</v>
      </c>
      <c r="E1" s="49" t="s">
        <v>255</v>
      </c>
      <c r="F1" s="49" t="s">
        <v>256</v>
      </c>
      <c r="G1" s="49" t="s">
        <v>125</v>
      </c>
      <c r="H1" s="50" t="s">
        <v>257</v>
      </c>
      <c r="I1" s="50" t="s">
        <v>253</v>
      </c>
      <c r="J1" s="50" t="s">
        <v>254</v>
      </c>
      <c r="K1" s="50" t="s">
        <v>255</v>
      </c>
      <c r="L1" s="50" t="s">
        <v>256</v>
      </c>
      <c r="M1" s="50" t="s">
        <v>123</v>
      </c>
      <c r="N1" s="51" t="s">
        <v>258</v>
      </c>
      <c r="O1" s="51" t="s">
        <v>253</v>
      </c>
      <c r="P1" s="51" t="s">
        <v>254</v>
      </c>
      <c r="Q1" s="51" t="s">
        <v>255</v>
      </c>
      <c r="R1" s="51" t="s">
        <v>256</v>
      </c>
      <c r="S1" s="51" t="s">
        <v>124</v>
      </c>
      <c r="U1" s="24" t="s">
        <v>0</v>
      </c>
    </row>
    <row r="2" spans="1:21" x14ac:dyDescent="0.3">
      <c r="A2" s="52" t="s">
        <v>91</v>
      </c>
      <c r="B2" s="53" t="s">
        <v>259</v>
      </c>
      <c r="C2" s="54" t="s">
        <v>204</v>
      </c>
      <c r="D2" s="54" t="s">
        <v>237</v>
      </c>
      <c r="E2" s="54">
        <v>65.17</v>
      </c>
      <c r="F2" s="54">
        <v>77.25</v>
      </c>
      <c r="G2" s="55">
        <v>12.079999999999998</v>
      </c>
      <c r="H2" s="56" t="s">
        <v>260</v>
      </c>
      <c r="I2" s="56" t="s">
        <v>204</v>
      </c>
      <c r="J2" s="56" t="s">
        <v>217</v>
      </c>
      <c r="K2" s="56">
        <v>65.17</v>
      </c>
      <c r="L2" s="56">
        <v>71.59</v>
      </c>
      <c r="M2" s="57">
        <v>6.4200000000000017</v>
      </c>
      <c r="N2" s="58" t="s">
        <v>261</v>
      </c>
      <c r="O2" s="58" t="s">
        <v>217</v>
      </c>
      <c r="P2" s="58" t="s">
        <v>237</v>
      </c>
      <c r="Q2" s="58">
        <v>71.59</v>
      </c>
      <c r="R2" s="58">
        <v>77.25</v>
      </c>
      <c r="S2" s="59">
        <v>5.6599999999999966</v>
      </c>
      <c r="U2" s="22" t="s">
        <v>262</v>
      </c>
    </row>
    <row r="3" spans="1:21" x14ac:dyDescent="0.3">
      <c r="A3" s="52" t="s">
        <v>127</v>
      </c>
      <c r="B3" s="53" t="s">
        <v>263</v>
      </c>
      <c r="C3" s="54" t="s">
        <v>204</v>
      </c>
      <c r="D3" s="54" t="s">
        <v>233</v>
      </c>
      <c r="E3" s="54">
        <v>56.16</v>
      </c>
      <c r="F3" s="54">
        <v>61.18</v>
      </c>
      <c r="G3" s="55">
        <v>5.0200000000000031</v>
      </c>
      <c r="H3" s="56" t="s">
        <v>260</v>
      </c>
      <c r="I3" s="56" t="s">
        <v>204</v>
      </c>
      <c r="J3" s="56" t="s">
        <v>217</v>
      </c>
      <c r="K3" s="56">
        <v>56.16</v>
      </c>
      <c r="L3" s="56">
        <v>56.81</v>
      </c>
      <c r="M3" s="57">
        <v>0.65000000000000568</v>
      </c>
      <c r="N3" s="58" t="s">
        <v>264</v>
      </c>
      <c r="O3" s="58" t="s">
        <v>217</v>
      </c>
      <c r="P3" s="58" t="s">
        <v>233</v>
      </c>
      <c r="Q3" s="58">
        <v>56.81</v>
      </c>
      <c r="R3" s="58">
        <v>61.18</v>
      </c>
      <c r="S3" s="59">
        <v>4.3699999999999974</v>
      </c>
    </row>
    <row r="4" spans="1:21" x14ac:dyDescent="0.3">
      <c r="A4" s="52" t="s">
        <v>90</v>
      </c>
      <c r="B4" s="53" t="s">
        <v>259</v>
      </c>
      <c r="C4" s="54" t="s">
        <v>204</v>
      </c>
      <c r="D4" s="54" t="s">
        <v>237</v>
      </c>
      <c r="E4" s="54">
        <v>53.45</v>
      </c>
      <c r="F4" s="54">
        <v>57.85</v>
      </c>
      <c r="G4" s="55">
        <v>4.3999999999999986</v>
      </c>
      <c r="H4" s="56" t="s">
        <v>260</v>
      </c>
      <c r="I4" s="56" t="s">
        <v>204</v>
      </c>
      <c r="J4" s="56" t="s">
        <v>217</v>
      </c>
      <c r="K4" s="56">
        <v>53.45</v>
      </c>
      <c r="L4" s="56">
        <v>54.19</v>
      </c>
      <c r="M4" s="57">
        <v>0.73999999999999488</v>
      </c>
      <c r="N4" s="58" t="s">
        <v>261</v>
      </c>
      <c r="O4" s="58" t="s">
        <v>217</v>
      </c>
      <c r="P4" s="58" t="s">
        <v>237</v>
      </c>
      <c r="Q4" s="58">
        <v>54.19</v>
      </c>
      <c r="R4" s="58">
        <v>57.85</v>
      </c>
      <c r="S4" s="59">
        <v>3.6600000000000037</v>
      </c>
    </row>
    <row r="5" spans="1:21" x14ac:dyDescent="0.3">
      <c r="A5" s="37" t="s">
        <v>110</v>
      </c>
      <c r="B5" s="53" t="s">
        <v>265</v>
      </c>
      <c r="C5" s="60">
        <v>2016</v>
      </c>
      <c r="D5" s="54">
        <v>2023</v>
      </c>
      <c r="E5" s="55">
        <v>49.197316272567868</v>
      </c>
      <c r="F5" s="55">
        <v>52.010842807096274</v>
      </c>
      <c r="G5" s="55">
        <v>2.8135265345284068</v>
      </c>
      <c r="H5" s="56" t="s">
        <v>266</v>
      </c>
      <c r="I5" s="56">
        <v>2016</v>
      </c>
      <c r="J5" s="56">
        <v>2019</v>
      </c>
      <c r="K5" s="56">
        <v>49.197316272567868</v>
      </c>
      <c r="L5" s="56">
        <v>49.272146029239984</v>
      </c>
      <c r="M5" s="57">
        <v>7.4829756672116332E-2</v>
      </c>
      <c r="N5" s="58" t="s">
        <v>267</v>
      </c>
      <c r="O5" s="58">
        <v>2021</v>
      </c>
      <c r="P5" s="58">
        <v>2023</v>
      </c>
      <c r="Q5" s="58">
        <v>49.506186667422725</v>
      </c>
      <c r="R5" s="58">
        <v>52.010842807096274</v>
      </c>
      <c r="S5" s="59">
        <v>2.5046561396735498</v>
      </c>
    </row>
    <row r="6" spans="1:21" x14ac:dyDescent="0.3">
      <c r="A6" s="52" t="s">
        <v>96</v>
      </c>
      <c r="B6" s="53" t="s">
        <v>268</v>
      </c>
      <c r="C6" s="54" t="s">
        <v>208</v>
      </c>
      <c r="D6" s="54" t="s">
        <v>237</v>
      </c>
      <c r="E6" s="54">
        <v>59.25</v>
      </c>
      <c r="F6" s="54">
        <v>61.88</v>
      </c>
      <c r="G6" s="55">
        <v>2.6300000000000026</v>
      </c>
      <c r="H6" s="56" t="s">
        <v>269</v>
      </c>
      <c r="I6" s="56" t="s">
        <v>208</v>
      </c>
      <c r="J6" s="56" t="s">
        <v>217</v>
      </c>
      <c r="K6" s="56">
        <v>59.25</v>
      </c>
      <c r="L6" s="56">
        <v>60.97</v>
      </c>
      <c r="M6" s="57">
        <v>1.7199999999999989</v>
      </c>
      <c r="N6" s="58" t="s">
        <v>261</v>
      </c>
      <c r="O6" s="58" t="s">
        <v>217</v>
      </c>
      <c r="P6" s="58" t="s">
        <v>237</v>
      </c>
      <c r="Q6" s="58">
        <v>60.97</v>
      </c>
      <c r="R6" s="58">
        <v>61.88</v>
      </c>
      <c r="S6" s="59">
        <v>0.91000000000000369</v>
      </c>
    </row>
    <row r="7" spans="1:21" x14ac:dyDescent="0.3">
      <c r="A7" s="52" t="s">
        <v>92</v>
      </c>
      <c r="B7" s="53" t="s">
        <v>259</v>
      </c>
      <c r="C7" s="54" t="s">
        <v>204</v>
      </c>
      <c r="D7" s="54" t="s">
        <v>237</v>
      </c>
      <c r="E7" s="54">
        <v>56.78</v>
      </c>
      <c r="F7" s="54">
        <v>58.74</v>
      </c>
      <c r="G7" s="55">
        <v>1.9600000000000009</v>
      </c>
      <c r="H7" s="56" t="s">
        <v>260</v>
      </c>
      <c r="I7" s="56" t="s">
        <v>204</v>
      </c>
      <c r="J7" s="56" t="s">
        <v>217</v>
      </c>
      <c r="K7" s="56">
        <v>56.78</v>
      </c>
      <c r="L7" s="56">
        <v>56.97</v>
      </c>
      <c r="M7" s="57">
        <v>0.18999999999999773</v>
      </c>
      <c r="N7" s="58" t="s">
        <v>261</v>
      </c>
      <c r="O7" s="58" t="s">
        <v>217</v>
      </c>
      <c r="P7" s="58" t="s">
        <v>237</v>
      </c>
      <c r="Q7" s="58">
        <v>56.97</v>
      </c>
      <c r="R7" s="58">
        <v>58.74</v>
      </c>
      <c r="S7" s="59">
        <v>1.7700000000000031</v>
      </c>
    </row>
    <row r="8" spans="1:21" x14ac:dyDescent="0.3">
      <c r="A8" s="52" t="s">
        <v>93</v>
      </c>
      <c r="B8" s="53" t="s">
        <v>259</v>
      </c>
      <c r="C8" s="54" t="s">
        <v>204</v>
      </c>
      <c r="D8" s="54" t="s">
        <v>237</v>
      </c>
      <c r="E8" s="54">
        <v>55.67</v>
      </c>
      <c r="F8" s="54">
        <v>57.47</v>
      </c>
      <c r="G8" s="55">
        <v>1.7999999999999972</v>
      </c>
      <c r="H8" s="56" t="s">
        <v>260</v>
      </c>
      <c r="I8" s="56" t="s">
        <v>204</v>
      </c>
      <c r="J8" s="56" t="s">
        <v>217</v>
      </c>
      <c r="K8" s="56">
        <v>55.67</v>
      </c>
      <c r="L8" s="56">
        <v>55.47</v>
      </c>
      <c r="M8" s="57">
        <v>-0.20000000000000284</v>
      </c>
      <c r="N8" s="58" t="s">
        <v>261</v>
      </c>
      <c r="O8" s="58" t="s">
        <v>217</v>
      </c>
      <c r="P8" s="58" t="s">
        <v>237</v>
      </c>
      <c r="Q8" s="58">
        <v>55.47</v>
      </c>
      <c r="R8" s="58">
        <v>57.47</v>
      </c>
      <c r="S8" s="59">
        <v>2</v>
      </c>
    </row>
    <row r="9" spans="1:21" x14ac:dyDescent="0.3">
      <c r="A9" s="37" t="s">
        <v>270</v>
      </c>
      <c r="B9" s="53" t="s">
        <v>265</v>
      </c>
      <c r="C9" s="60">
        <v>2016</v>
      </c>
      <c r="D9" s="54">
        <v>2023</v>
      </c>
      <c r="E9" s="55">
        <v>56.979126705472865</v>
      </c>
      <c r="F9" s="55">
        <v>58.552782742111205</v>
      </c>
      <c r="G9" s="55">
        <v>1.5736560366383401</v>
      </c>
      <c r="H9" s="56" t="s">
        <v>266</v>
      </c>
      <c r="I9" s="56">
        <v>2016</v>
      </c>
      <c r="J9" s="56">
        <v>2019</v>
      </c>
      <c r="K9" s="56">
        <v>56.979126705472865</v>
      </c>
      <c r="L9" s="56">
        <v>58.192803089759778</v>
      </c>
      <c r="M9" s="57">
        <v>1.2136763842869129</v>
      </c>
      <c r="N9" s="58" t="s">
        <v>267</v>
      </c>
      <c r="O9" s="58">
        <v>2021</v>
      </c>
      <c r="P9" s="58">
        <v>2023</v>
      </c>
      <c r="Q9" s="58">
        <v>57.234284094561993</v>
      </c>
      <c r="R9" s="58">
        <v>58.552782742111205</v>
      </c>
      <c r="S9" s="59">
        <v>1.3184986475492124</v>
      </c>
    </row>
    <row r="10" spans="1:21" x14ac:dyDescent="0.3">
      <c r="A10" s="52" t="s">
        <v>94</v>
      </c>
      <c r="B10" s="53" t="s">
        <v>271</v>
      </c>
      <c r="C10" s="54" t="s">
        <v>271</v>
      </c>
      <c r="D10" s="54" t="s">
        <v>271</v>
      </c>
      <c r="E10" s="54" t="e">
        <v>#N/A</v>
      </c>
      <c r="F10" s="54" t="e">
        <v>#N/A</v>
      </c>
      <c r="G10" s="55">
        <v>1.360000000000003</v>
      </c>
      <c r="H10" s="56" t="s">
        <v>260</v>
      </c>
      <c r="I10" s="56" t="s">
        <v>204</v>
      </c>
      <c r="J10" s="56" t="s">
        <v>217</v>
      </c>
      <c r="K10" s="56">
        <v>63.3</v>
      </c>
      <c r="L10" s="56">
        <v>60.81</v>
      </c>
      <c r="M10" s="57">
        <v>-2.4899999999999949</v>
      </c>
      <c r="N10" s="58" t="s">
        <v>272</v>
      </c>
      <c r="O10" s="58" t="s">
        <v>225</v>
      </c>
      <c r="P10" s="58" t="s">
        <v>237</v>
      </c>
      <c r="Q10" s="58">
        <v>52.04</v>
      </c>
      <c r="R10" s="58">
        <v>57.25</v>
      </c>
      <c r="S10" s="59">
        <v>5.2100000000000009</v>
      </c>
    </row>
    <row r="11" spans="1:21" x14ac:dyDescent="0.3">
      <c r="A11" s="52" t="s">
        <v>99</v>
      </c>
      <c r="B11" s="53" t="s">
        <v>259</v>
      </c>
      <c r="C11" s="54" t="s">
        <v>204</v>
      </c>
      <c r="D11" s="54" t="s">
        <v>237</v>
      </c>
      <c r="E11" s="54">
        <v>57.36</v>
      </c>
      <c r="F11" s="54">
        <v>58.65</v>
      </c>
      <c r="G11" s="55">
        <v>1.2899999999999991</v>
      </c>
      <c r="H11" s="56" t="s">
        <v>260</v>
      </c>
      <c r="I11" s="56" t="s">
        <v>204</v>
      </c>
      <c r="J11" s="56" t="s">
        <v>217</v>
      </c>
      <c r="K11" s="56">
        <v>57.36</v>
      </c>
      <c r="L11" s="56">
        <v>58.14</v>
      </c>
      <c r="M11" s="57">
        <v>0.78000000000000114</v>
      </c>
      <c r="N11" s="58" t="s">
        <v>261</v>
      </c>
      <c r="O11" s="58" t="s">
        <v>217</v>
      </c>
      <c r="P11" s="58" t="s">
        <v>237</v>
      </c>
      <c r="Q11" s="58">
        <v>58.14</v>
      </c>
      <c r="R11" s="58">
        <v>58.65</v>
      </c>
      <c r="S11" s="59">
        <v>0.50999999999999801</v>
      </c>
    </row>
    <row r="12" spans="1:21" x14ac:dyDescent="0.3">
      <c r="A12" s="52" t="s">
        <v>128</v>
      </c>
      <c r="B12" s="53" t="s">
        <v>259</v>
      </c>
      <c r="C12" s="54" t="s">
        <v>204</v>
      </c>
      <c r="D12" s="54" t="s">
        <v>237</v>
      </c>
      <c r="E12" s="55">
        <v>57.63</v>
      </c>
      <c r="F12" s="55">
        <v>58.88</v>
      </c>
      <c r="G12" s="55">
        <v>1.25</v>
      </c>
      <c r="H12" s="56" t="s">
        <v>260</v>
      </c>
      <c r="I12" s="56" t="s">
        <v>204</v>
      </c>
      <c r="J12" s="56" t="s">
        <v>217</v>
      </c>
      <c r="K12" s="56">
        <v>57.6</v>
      </c>
      <c r="L12" s="56">
        <v>57.9</v>
      </c>
      <c r="M12" s="57">
        <v>0.29999999999999716</v>
      </c>
      <c r="N12" s="58" t="s">
        <v>261</v>
      </c>
      <c r="O12" s="58" t="s">
        <v>217</v>
      </c>
      <c r="P12" s="58" t="s">
        <v>237</v>
      </c>
      <c r="Q12" s="58">
        <v>57.9</v>
      </c>
      <c r="R12" s="58">
        <v>58.9</v>
      </c>
      <c r="S12" s="59">
        <v>1</v>
      </c>
    </row>
    <row r="13" spans="1:21" x14ac:dyDescent="0.3">
      <c r="A13" s="37" t="s">
        <v>273</v>
      </c>
      <c r="B13" s="53" t="s">
        <v>265</v>
      </c>
      <c r="C13" s="60">
        <v>2016</v>
      </c>
      <c r="D13" s="54">
        <v>2023</v>
      </c>
      <c r="E13" s="55">
        <v>51.433950255172412</v>
      </c>
      <c r="F13" s="55">
        <v>52.587802843508577</v>
      </c>
      <c r="G13" s="55">
        <v>1.1538525883361643</v>
      </c>
      <c r="H13" s="56" t="s">
        <v>266</v>
      </c>
      <c r="I13" s="56">
        <v>2016</v>
      </c>
      <c r="J13" s="56">
        <v>2019</v>
      </c>
      <c r="K13" s="56">
        <v>51.433950255172412</v>
      </c>
      <c r="L13" s="56">
        <v>51.530209210287858</v>
      </c>
      <c r="M13" s="57">
        <v>9.6258955115445133E-2</v>
      </c>
      <c r="N13" s="58" t="s">
        <v>267</v>
      </c>
      <c r="O13" s="58">
        <v>2021</v>
      </c>
      <c r="P13" s="58">
        <v>2023</v>
      </c>
      <c r="Q13" s="58">
        <v>50.613872672381397</v>
      </c>
      <c r="R13" s="58">
        <v>52.587802843508577</v>
      </c>
      <c r="S13" s="59">
        <v>1.9739301711271793</v>
      </c>
    </row>
    <row r="14" spans="1:21" x14ac:dyDescent="0.3">
      <c r="A14" s="52" t="s">
        <v>126</v>
      </c>
      <c r="B14" s="53" t="s">
        <v>271</v>
      </c>
      <c r="C14" s="54" t="s">
        <v>271</v>
      </c>
      <c r="D14" s="54" t="s">
        <v>271</v>
      </c>
      <c r="E14" s="54" t="e">
        <v>#N/A</v>
      </c>
      <c r="F14" s="54" t="e">
        <v>#N/A</v>
      </c>
      <c r="G14" s="55">
        <v>0.23499999999999943</v>
      </c>
      <c r="H14" s="56" t="s">
        <v>269</v>
      </c>
      <c r="I14" s="56" t="s">
        <v>208</v>
      </c>
      <c r="J14" s="56" t="s">
        <v>217</v>
      </c>
      <c r="K14" s="56">
        <v>65.760000000000005</v>
      </c>
      <c r="L14" s="56">
        <v>65.88</v>
      </c>
      <c r="M14" s="57">
        <v>0.11999999999999034</v>
      </c>
      <c r="N14" s="58" t="s">
        <v>274</v>
      </c>
      <c r="O14" s="58" t="s">
        <v>229</v>
      </c>
      <c r="P14" s="58" t="s">
        <v>237</v>
      </c>
      <c r="Q14" s="58">
        <v>64.709999999999994</v>
      </c>
      <c r="R14" s="58">
        <v>65.06</v>
      </c>
      <c r="S14" s="59">
        <v>0.35000000000000853</v>
      </c>
    </row>
    <row r="15" spans="1:21" x14ac:dyDescent="0.3">
      <c r="A15" s="52" t="s">
        <v>97</v>
      </c>
      <c r="B15" s="53" t="s">
        <v>272</v>
      </c>
      <c r="C15" s="54" t="s">
        <v>225</v>
      </c>
      <c r="D15" s="54" t="s">
        <v>237</v>
      </c>
      <c r="E15" s="54">
        <v>62.5</v>
      </c>
      <c r="F15" s="54">
        <v>62.56</v>
      </c>
      <c r="G15" s="55">
        <v>6.0000000000002274E-2</v>
      </c>
      <c r="H15" s="56" t="s">
        <v>275</v>
      </c>
      <c r="I15" s="56" t="s">
        <v>276</v>
      </c>
      <c r="J15" s="56" t="s">
        <v>277</v>
      </c>
      <c r="K15" s="56" t="e">
        <v>#N/A</v>
      </c>
      <c r="L15" s="56" t="e">
        <v>#N/A</v>
      </c>
      <c r="M15" s="57"/>
      <c r="N15" s="58" t="s">
        <v>272</v>
      </c>
      <c r="O15" s="58" t="s">
        <v>225</v>
      </c>
      <c r="P15" s="58" t="s">
        <v>237</v>
      </c>
      <c r="Q15" s="58">
        <v>62.5</v>
      </c>
      <c r="R15" s="58">
        <v>62.56</v>
      </c>
      <c r="S15" s="59">
        <v>6.0000000000002274E-2</v>
      </c>
    </row>
    <row r="16" spans="1:21" x14ac:dyDescent="0.3">
      <c r="A16" s="52" t="s">
        <v>100</v>
      </c>
      <c r="B16" s="53" t="s">
        <v>259</v>
      </c>
      <c r="C16" s="54" t="s">
        <v>204</v>
      </c>
      <c r="D16" s="54" t="s">
        <v>237</v>
      </c>
      <c r="E16" s="54">
        <v>63.36</v>
      </c>
      <c r="F16" s="54">
        <v>63.38</v>
      </c>
      <c r="G16" s="55">
        <v>2.0000000000003126E-2</v>
      </c>
      <c r="H16" s="56" t="s">
        <v>260</v>
      </c>
      <c r="I16" s="56" t="s">
        <v>204</v>
      </c>
      <c r="J16" s="56" t="s">
        <v>217</v>
      </c>
      <c r="K16" s="56">
        <v>63.36</v>
      </c>
      <c r="L16" s="56">
        <v>63.19</v>
      </c>
      <c r="M16" s="57">
        <v>-0.17000000000000171</v>
      </c>
      <c r="N16" s="58" t="s">
        <v>261</v>
      </c>
      <c r="O16" s="58" t="s">
        <v>217</v>
      </c>
      <c r="P16" s="58" t="s">
        <v>237</v>
      </c>
      <c r="Q16" s="58">
        <v>63.19</v>
      </c>
      <c r="R16" s="58">
        <v>63.38</v>
      </c>
      <c r="S16" s="59">
        <v>0.19000000000000483</v>
      </c>
    </row>
    <row r="17" spans="1:19" x14ac:dyDescent="0.3">
      <c r="A17" s="37" t="s">
        <v>114</v>
      </c>
      <c r="B17" s="53" t="s">
        <v>265</v>
      </c>
      <c r="C17" s="60">
        <v>2016</v>
      </c>
      <c r="D17" s="54">
        <v>2023</v>
      </c>
      <c r="E17" s="55">
        <v>66.194585599716049</v>
      </c>
      <c r="F17" s="55">
        <v>66.05285562362134</v>
      </c>
      <c r="G17" s="55">
        <v>-0.14172997609470883</v>
      </c>
      <c r="H17" s="56" t="s">
        <v>266</v>
      </c>
      <c r="I17" s="56">
        <v>2016</v>
      </c>
      <c r="J17" s="56">
        <v>2019</v>
      </c>
      <c r="K17" s="56">
        <v>66.194585599716049</v>
      </c>
      <c r="L17" s="56">
        <v>64.845053455474897</v>
      </c>
      <c r="M17" s="57">
        <v>-1.3495321442411523</v>
      </c>
      <c r="N17" s="58" t="s">
        <v>267</v>
      </c>
      <c r="O17" s="58">
        <v>2021</v>
      </c>
      <c r="P17" s="58">
        <v>2023</v>
      </c>
      <c r="Q17" s="58">
        <v>63.656020328058055</v>
      </c>
      <c r="R17" s="58">
        <v>66.05285562362134</v>
      </c>
      <c r="S17" s="59">
        <v>2.3968352955632852</v>
      </c>
    </row>
    <row r="18" spans="1:19" x14ac:dyDescent="0.3">
      <c r="A18" s="52" t="s">
        <v>95</v>
      </c>
      <c r="B18" s="53" t="s">
        <v>259</v>
      </c>
      <c r="C18" s="54" t="s">
        <v>204</v>
      </c>
      <c r="D18" s="54" t="s">
        <v>237</v>
      </c>
      <c r="E18" s="54">
        <v>51.81</v>
      </c>
      <c r="F18" s="54">
        <v>51.36</v>
      </c>
      <c r="G18" s="55">
        <v>-0.45000000000000284</v>
      </c>
      <c r="H18" s="56" t="s">
        <v>260</v>
      </c>
      <c r="I18" s="56" t="s">
        <v>204</v>
      </c>
      <c r="J18" s="56" t="s">
        <v>217</v>
      </c>
      <c r="K18" s="56">
        <v>51.81</v>
      </c>
      <c r="L18" s="56">
        <v>55.46</v>
      </c>
      <c r="M18" s="57">
        <v>3.6499999999999986</v>
      </c>
      <c r="N18" s="58" t="s">
        <v>261</v>
      </c>
      <c r="O18" s="58" t="s">
        <v>217</v>
      </c>
      <c r="P18" s="58" t="s">
        <v>237</v>
      </c>
      <c r="Q18" s="58">
        <v>55.46</v>
      </c>
      <c r="R18" s="58">
        <v>51.36</v>
      </c>
      <c r="S18" s="59">
        <v>-4.1000000000000014</v>
      </c>
    </row>
    <row r="19" spans="1:19" x14ac:dyDescent="0.3">
      <c r="A19" s="52" t="s">
        <v>101</v>
      </c>
      <c r="B19" s="53" t="s">
        <v>271</v>
      </c>
      <c r="C19" s="54" t="s">
        <v>271</v>
      </c>
      <c r="D19" s="54" t="s">
        <v>271</v>
      </c>
      <c r="E19" s="54" t="e">
        <v>#N/A</v>
      </c>
      <c r="F19" s="54" t="e">
        <v>#N/A</v>
      </c>
      <c r="G19" s="55">
        <v>-1.0850000000000009</v>
      </c>
      <c r="H19" s="56" t="s">
        <v>260</v>
      </c>
      <c r="I19" s="56" t="s">
        <v>204</v>
      </c>
      <c r="J19" s="56" t="s">
        <v>217</v>
      </c>
      <c r="K19" s="56">
        <v>59.31</v>
      </c>
      <c r="L19" s="56">
        <v>57.19</v>
      </c>
      <c r="M19" s="57">
        <v>-2.1200000000000045</v>
      </c>
      <c r="N19" s="58" t="s">
        <v>272</v>
      </c>
      <c r="O19" s="58" t="s">
        <v>225</v>
      </c>
      <c r="P19" s="58" t="s">
        <v>237</v>
      </c>
      <c r="Q19" s="58">
        <v>56.11</v>
      </c>
      <c r="R19" s="58">
        <v>56.06</v>
      </c>
      <c r="S19" s="59">
        <v>-4.9999999999997158E-2</v>
      </c>
    </row>
    <row r="20" spans="1:19" x14ac:dyDescent="0.3">
      <c r="A20" s="37" t="s">
        <v>278</v>
      </c>
      <c r="B20" s="53" t="s">
        <v>265</v>
      </c>
      <c r="C20" s="60">
        <v>2016</v>
      </c>
      <c r="D20" s="54">
        <v>2023</v>
      </c>
      <c r="E20" s="55">
        <v>38.006212954921217</v>
      </c>
      <c r="F20" s="55">
        <v>36.701338944798536</v>
      </c>
      <c r="G20" s="55">
        <v>-1.3048740101226812</v>
      </c>
      <c r="H20" s="56" t="s">
        <v>266</v>
      </c>
      <c r="I20" s="56">
        <v>2016</v>
      </c>
      <c r="J20" s="56">
        <v>2019</v>
      </c>
      <c r="K20" s="56">
        <v>38.006212954921217</v>
      </c>
      <c r="L20" s="56">
        <v>37.526394025222018</v>
      </c>
      <c r="M20" s="57">
        <v>-0.47981892969919926</v>
      </c>
      <c r="N20" s="58" t="s">
        <v>267</v>
      </c>
      <c r="O20" s="58">
        <v>2021</v>
      </c>
      <c r="P20" s="58">
        <v>2023</v>
      </c>
      <c r="Q20" s="58">
        <v>36.340472815574159</v>
      </c>
      <c r="R20" s="58">
        <v>36.701338944798536</v>
      </c>
      <c r="S20" s="59">
        <v>0.36086612922437666</v>
      </c>
    </row>
    <row r="21" spans="1:19" x14ac:dyDescent="0.3">
      <c r="A21" s="37" t="s">
        <v>279</v>
      </c>
      <c r="B21" s="53" t="s">
        <v>265</v>
      </c>
      <c r="C21" s="60">
        <v>2016</v>
      </c>
      <c r="D21" s="54">
        <v>2023</v>
      </c>
      <c r="E21" s="55">
        <v>65.781205658085952</v>
      </c>
      <c r="F21" s="55">
        <v>63.520886192522035</v>
      </c>
      <c r="G21" s="55">
        <v>-2.2603194655639172</v>
      </c>
      <c r="H21" s="56" t="s">
        <v>266</v>
      </c>
      <c r="I21" s="56">
        <v>2016</v>
      </c>
      <c r="J21" s="56">
        <v>2019</v>
      </c>
      <c r="K21" s="56">
        <v>65.781205658085952</v>
      </c>
      <c r="L21" s="56">
        <v>64.900436616200508</v>
      </c>
      <c r="M21" s="57">
        <v>-0.88076904188544347</v>
      </c>
      <c r="N21" s="58" t="s">
        <v>267</v>
      </c>
      <c r="O21" s="58">
        <v>2021</v>
      </c>
      <c r="P21" s="58">
        <v>2023</v>
      </c>
      <c r="Q21" s="58">
        <v>63.874931088331223</v>
      </c>
      <c r="R21" s="58">
        <v>63.520886192522035</v>
      </c>
      <c r="S21" s="59">
        <v>-0.35404489580918863</v>
      </c>
    </row>
  </sheetData>
  <autoFilter ref="A1:S21" xr:uid="{3AFBA625-1DD3-42D3-909E-86ECCB8C1B80}">
    <sortState xmlns:xlrd2="http://schemas.microsoft.com/office/spreadsheetml/2017/richdata2" ref="A2:S21">
      <sortCondition descending="1" ref="G1:G21"/>
    </sortState>
  </autoFilter>
  <hyperlinks>
    <hyperlink ref="U1" location="Index!A1" display="'Index" xr:uid="{FCE30EA4-13C2-4944-B75D-E8F67958DED6}"/>
  </hyperlinks>
  <pageMargins left="0.7" right="0.7" top="0.75" bottom="0.75" header="0.3" footer="0.3"/>
  <headerFooter>
    <oddFooter>&amp;R_x000D_&amp;1#&amp;"Calibri"&amp;10&amp;K000000 Official Use Only</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95D40-1308-4867-97CE-8C21E63AD9CC}">
  <dimension ref="A1:V25"/>
  <sheetViews>
    <sheetView topLeftCell="C1" zoomScaleNormal="100" workbookViewId="0">
      <selection activeCell="S17" sqref="S17"/>
    </sheetView>
  </sheetViews>
  <sheetFormatPr defaultColWidth="9" defaultRowHeight="14.4" x14ac:dyDescent="0.3"/>
  <cols>
    <col min="1" max="4" width="8.88671875" style="1" customWidth="1"/>
    <col min="5" max="5" width="8.88671875" style="1" hidden="1" customWidth="1"/>
    <col min="6" max="8" width="8.88671875" style="1" customWidth="1"/>
    <col min="9" max="9" width="8.88671875" style="1" hidden="1" customWidth="1"/>
    <col min="10" max="11" width="8.88671875" style="1" customWidth="1"/>
    <col min="12" max="12" width="11.88671875" style="1" customWidth="1"/>
    <col min="13" max="13" width="17.5546875" style="1" bestFit="1" customWidth="1"/>
    <col min="14" max="15" width="0" style="1" hidden="1" customWidth="1"/>
    <col min="16" max="16" width="10.88671875" style="1" hidden="1" customWidth="1"/>
    <col min="17" max="17" width="0" style="1" hidden="1" customWidth="1"/>
    <col min="18" max="18" width="9" style="1"/>
    <col min="19" max="19" width="28.88671875" style="1" bestFit="1" customWidth="1"/>
    <col min="20" max="20" width="12.5546875" style="1" bestFit="1" customWidth="1"/>
    <col min="21" max="21" width="10.109375" style="1" bestFit="1" customWidth="1"/>
    <col min="22" max="16384" width="9" style="1"/>
  </cols>
  <sheetData>
    <row r="1" spans="1:21" ht="15.6" x14ac:dyDescent="0.3">
      <c r="A1" s="189" t="s">
        <v>280</v>
      </c>
      <c r="B1" s="189"/>
      <c r="C1" s="189"/>
      <c r="D1" s="189"/>
      <c r="E1" s="189" t="s">
        <v>281</v>
      </c>
      <c r="F1" s="189"/>
      <c r="G1" s="189"/>
      <c r="H1" s="189"/>
      <c r="I1" s="189" t="s">
        <v>282</v>
      </c>
      <c r="J1" s="189"/>
      <c r="K1" s="189"/>
      <c r="L1" s="189"/>
      <c r="M1" s="61"/>
      <c r="N1" s="62" t="s">
        <v>283</v>
      </c>
      <c r="O1" s="62"/>
      <c r="P1" s="190" t="s">
        <v>284</v>
      </c>
      <c r="Q1" s="191"/>
      <c r="S1" s="63"/>
    </row>
    <row r="2" spans="1:21" ht="16.2" thickBot="1" x14ac:dyDescent="0.35">
      <c r="A2" s="64" t="s">
        <v>119</v>
      </c>
      <c r="B2" s="64" t="s">
        <v>285</v>
      </c>
      <c r="C2" s="64" t="s">
        <v>286</v>
      </c>
      <c r="D2" s="64" t="s">
        <v>287</v>
      </c>
      <c r="E2" s="64" t="s">
        <v>119</v>
      </c>
      <c r="F2" s="64" t="s">
        <v>285</v>
      </c>
      <c r="G2" s="64" t="s">
        <v>286</v>
      </c>
      <c r="H2" s="64" t="s">
        <v>287</v>
      </c>
      <c r="I2" s="64" t="s">
        <v>119</v>
      </c>
      <c r="J2" s="64" t="s">
        <v>288</v>
      </c>
      <c r="K2" s="64" t="s">
        <v>289</v>
      </c>
      <c r="L2" s="64" t="s">
        <v>287</v>
      </c>
      <c r="M2" s="3"/>
      <c r="N2" s="65">
        <v>2016</v>
      </c>
      <c r="O2" s="66">
        <v>2024</v>
      </c>
      <c r="P2" s="67">
        <v>2016</v>
      </c>
      <c r="Q2" s="67">
        <v>2024</v>
      </c>
      <c r="S2" s="68" t="s">
        <v>119</v>
      </c>
      <c r="T2" s="68" t="s">
        <v>290</v>
      </c>
      <c r="U2" s="1" t="s">
        <v>291</v>
      </c>
    </row>
    <row r="3" spans="1:21" x14ac:dyDescent="0.3">
      <c r="A3" s="3" t="s">
        <v>292</v>
      </c>
      <c r="B3" s="69">
        <v>59.2306923169822</v>
      </c>
      <c r="C3" s="69">
        <v>63.748068380623799</v>
      </c>
      <c r="D3" s="69">
        <v>4.5173760636415698</v>
      </c>
      <c r="E3" s="3" t="s">
        <v>292</v>
      </c>
      <c r="F3" s="69">
        <v>67.661269424023601</v>
      </c>
      <c r="G3" s="69">
        <v>69.6325644432183</v>
      </c>
      <c r="H3" s="69">
        <v>1.9712950191946601</v>
      </c>
      <c r="I3" s="3" t="s">
        <v>292</v>
      </c>
      <c r="J3" s="69">
        <v>61.467387687739098</v>
      </c>
      <c r="K3" s="69">
        <v>56.084002586452002</v>
      </c>
      <c r="L3" s="69">
        <v>-5.3833851012871001</v>
      </c>
      <c r="M3" s="3" t="s">
        <v>98</v>
      </c>
      <c r="S3" s="1" t="s">
        <v>293</v>
      </c>
      <c r="T3" s="1" t="s">
        <v>294</v>
      </c>
      <c r="U3" s="1" t="s">
        <v>295</v>
      </c>
    </row>
    <row r="4" spans="1:21" x14ac:dyDescent="0.3">
      <c r="A4" s="3" t="s">
        <v>296</v>
      </c>
      <c r="B4" s="69">
        <v>62.9908102181491</v>
      </c>
      <c r="C4" s="69">
        <v>66.117803711274405</v>
      </c>
      <c r="D4" s="69">
        <v>3.1269934931252998</v>
      </c>
      <c r="E4" s="3" t="s">
        <v>296</v>
      </c>
      <c r="F4" s="69">
        <v>42.636997802339501</v>
      </c>
      <c r="G4" s="69">
        <v>49.567422330728299</v>
      </c>
      <c r="H4" s="69">
        <v>6.9304245283887704</v>
      </c>
      <c r="I4" s="3" t="s">
        <v>296</v>
      </c>
      <c r="J4" s="69">
        <v>62.857820771600601</v>
      </c>
      <c r="K4" s="69">
        <v>59.6582865732966</v>
      </c>
      <c r="L4" s="69">
        <v>-3.1995341983039398</v>
      </c>
      <c r="M4" s="3" t="s">
        <v>100</v>
      </c>
      <c r="N4" s="70">
        <v>2.08</v>
      </c>
      <c r="O4" s="71">
        <v>2.13</v>
      </c>
      <c r="P4" s="72">
        <v>2.4761904761904766E-2</v>
      </c>
      <c r="Q4" s="72">
        <v>2.5637939335580159E-2</v>
      </c>
      <c r="S4" s="1" t="s">
        <v>297</v>
      </c>
      <c r="T4" s="1" t="s">
        <v>294</v>
      </c>
      <c r="U4" s="1" t="s">
        <v>295</v>
      </c>
    </row>
    <row r="5" spans="1:21" x14ac:dyDescent="0.3">
      <c r="A5" s="3" t="s">
        <v>297</v>
      </c>
      <c r="B5" s="69">
        <v>71.389124703990007</v>
      </c>
      <c r="C5" s="69">
        <v>72.999770087669901</v>
      </c>
      <c r="D5" s="69">
        <v>1.6106453836799</v>
      </c>
      <c r="E5" s="3" t="s">
        <v>297</v>
      </c>
      <c r="F5" s="69">
        <v>40.036789914987402</v>
      </c>
      <c r="G5" s="69">
        <v>47.108575605733499</v>
      </c>
      <c r="H5" s="69">
        <v>7.0717856907461503</v>
      </c>
      <c r="I5" s="3" t="s">
        <v>297</v>
      </c>
      <c r="J5" s="69">
        <v>29.613885532059498</v>
      </c>
      <c r="K5" s="69">
        <v>32.700009744043697</v>
      </c>
      <c r="L5" s="69">
        <v>3.0861242119842101</v>
      </c>
      <c r="M5" s="3" t="s">
        <v>91</v>
      </c>
      <c r="N5" s="70">
        <v>2.0499999999999998</v>
      </c>
      <c r="O5" s="71">
        <v>2.1800000000000002</v>
      </c>
      <c r="P5" s="72">
        <v>2.4404761904761908E-2</v>
      </c>
      <c r="Q5" s="72">
        <v>2.6239768897448241E-2</v>
      </c>
      <c r="S5" s="1" t="s">
        <v>298</v>
      </c>
      <c r="T5" s="1" t="s">
        <v>299</v>
      </c>
      <c r="U5" s="1" t="s">
        <v>295</v>
      </c>
    </row>
    <row r="6" spans="1:21" x14ac:dyDescent="0.3">
      <c r="A6" s="3" t="s">
        <v>300</v>
      </c>
      <c r="B6" s="69">
        <v>58.008208300084299</v>
      </c>
      <c r="C6" s="69">
        <v>57.990818152762102</v>
      </c>
      <c r="D6" s="69">
        <v>-1.7390147322160501E-2</v>
      </c>
      <c r="E6" s="3" t="s">
        <v>300</v>
      </c>
      <c r="F6" s="69">
        <v>56.586371624150701</v>
      </c>
      <c r="G6" s="69">
        <v>57.7880672109643</v>
      </c>
      <c r="H6" s="69">
        <v>1.2016955868136101</v>
      </c>
      <c r="I6" s="3" t="s">
        <v>300</v>
      </c>
      <c r="J6" s="69">
        <v>56.554277713132898</v>
      </c>
      <c r="K6" s="69">
        <v>58.908496408641199</v>
      </c>
      <c r="L6" s="69">
        <v>2.35421869550829</v>
      </c>
      <c r="M6" s="3" t="s">
        <v>126</v>
      </c>
      <c r="N6" s="70">
        <v>0</v>
      </c>
      <c r="O6" s="71">
        <v>1.0900000000000001</v>
      </c>
      <c r="P6" s="72"/>
      <c r="Q6" s="73"/>
      <c r="S6" s="1" t="s">
        <v>301</v>
      </c>
      <c r="T6" s="1" t="s">
        <v>294</v>
      </c>
      <c r="U6" s="1" t="s">
        <v>295</v>
      </c>
    </row>
    <row r="7" spans="1:21" x14ac:dyDescent="0.3">
      <c r="A7" s="3" t="s">
        <v>302</v>
      </c>
      <c r="B7" s="69">
        <v>49.639524188616498</v>
      </c>
      <c r="C7" s="69">
        <v>48.961393683182997</v>
      </c>
      <c r="D7" s="69">
        <v>-0.67813050543351605</v>
      </c>
      <c r="E7" s="3" t="s">
        <v>302</v>
      </c>
      <c r="F7" s="69">
        <v>31.332535688398199</v>
      </c>
      <c r="G7" s="69">
        <v>28.472381950410998</v>
      </c>
      <c r="H7" s="69">
        <v>-2.8601537379872601</v>
      </c>
      <c r="I7" s="3" t="s">
        <v>302</v>
      </c>
      <c r="J7" s="69">
        <v>56.335658042949802</v>
      </c>
      <c r="K7" s="69">
        <v>58.142261873230296</v>
      </c>
      <c r="L7" s="69">
        <v>1.8066038302805101</v>
      </c>
      <c r="M7" s="3" t="s">
        <v>96</v>
      </c>
      <c r="N7" s="70">
        <v>2.04</v>
      </c>
      <c r="O7" s="71">
        <v>2</v>
      </c>
      <c r="P7" s="72"/>
      <c r="Q7" s="73"/>
      <c r="S7" s="1" t="s">
        <v>303</v>
      </c>
      <c r="T7" s="1" t="s">
        <v>304</v>
      </c>
      <c r="U7" s="1" t="s">
        <v>295</v>
      </c>
    </row>
    <row r="8" spans="1:21" x14ac:dyDescent="0.3">
      <c r="A8" s="3" t="s">
        <v>293</v>
      </c>
      <c r="B8" s="69">
        <v>40.014301067642499</v>
      </c>
      <c r="C8" s="69">
        <v>38.938710739296901</v>
      </c>
      <c r="D8" s="69">
        <v>-1.0755903283456001</v>
      </c>
      <c r="E8" s="3" t="s">
        <v>293</v>
      </c>
      <c r="F8" s="69">
        <v>33.363138949624201</v>
      </c>
      <c r="G8" s="69">
        <v>36.335276451698299</v>
      </c>
      <c r="H8" s="69">
        <v>2.9721375020740899</v>
      </c>
      <c r="I8" s="3" t="s">
        <v>293</v>
      </c>
      <c r="J8" s="69">
        <v>75.561424771878805</v>
      </c>
      <c r="K8" s="69">
        <v>73.796516525304895</v>
      </c>
      <c r="L8" s="69">
        <v>-1.76490824657398</v>
      </c>
      <c r="M8" s="3" t="s">
        <v>90</v>
      </c>
      <c r="N8" s="74"/>
      <c r="O8" s="75"/>
      <c r="P8" s="76"/>
      <c r="Q8" s="77"/>
      <c r="S8" s="1" t="s">
        <v>305</v>
      </c>
      <c r="T8" s="1" t="s">
        <v>294</v>
      </c>
      <c r="U8" s="1" t="s">
        <v>295</v>
      </c>
    </row>
    <row r="9" spans="1:21" x14ac:dyDescent="0.3">
      <c r="A9" s="3" t="s">
        <v>306</v>
      </c>
      <c r="B9" s="69">
        <v>54.662316434069503</v>
      </c>
      <c r="C9" s="69">
        <v>53.478203907255903</v>
      </c>
      <c r="D9" s="69">
        <v>-1.1841125268135899</v>
      </c>
      <c r="E9" s="3" t="s">
        <v>306</v>
      </c>
      <c r="F9" s="69">
        <v>49.610267432946799</v>
      </c>
      <c r="G9" s="69">
        <v>49.119699141343098</v>
      </c>
      <c r="H9" s="69">
        <v>-0.49056829160373799</v>
      </c>
      <c r="I9" s="3" t="s">
        <v>306</v>
      </c>
      <c r="J9" s="69">
        <v>60.6036919556648</v>
      </c>
      <c r="K9" s="69">
        <v>63.219741910426798</v>
      </c>
      <c r="L9" s="69">
        <v>2.6160499547619702</v>
      </c>
      <c r="M9" s="3" t="s">
        <v>127</v>
      </c>
      <c r="N9" s="70">
        <v>5.89</v>
      </c>
      <c r="O9" s="71">
        <v>5.69</v>
      </c>
      <c r="P9" s="72">
        <v>7.0119047619047623E-2</v>
      </c>
      <c r="Q9" s="72">
        <v>6.8488204140587386E-2</v>
      </c>
      <c r="S9" s="1" t="s">
        <v>302</v>
      </c>
      <c r="T9" s="1" t="s">
        <v>307</v>
      </c>
      <c r="U9" s="1" t="s">
        <v>295</v>
      </c>
    </row>
    <row r="10" spans="1:21" x14ac:dyDescent="0.3">
      <c r="A10" s="3" t="s">
        <v>308</v>
      </c>
      <c r="B10" s="69">
        <v>36.299981944525797</v>
      </c>
      <c r="C10" s="69">
        <v>34.946939396130801</v>
      </c>
      <c r="D10" s="69">
        <v>-1.35304254839494</v>
      </c>
      <c r="E10" s="3" t="s">
        <v>308</v>
      </c>
      <c r="F10" s="69">
        <v>11.9290960808887</v>
      </c>
      <c r="G10" s="69">
        <v>10.5533551612449</v>
      </c>
      <c r="H10" s="69">
        <v>-1.37574091964376</v>
      </c>
      <c r="I10" s="3" t="s">
        <v>308</v>
      </c>
      <c r="J10" s="69">
        <v>71.452587300657797</v>
      </c>
      <c r="K10" s="69">
        <v>70.225797299777994</v>
      </c>
      <c r="L10" s="69">
        <v>-1.2267900008797601</v>
      </c>
      <c r="M10" s="3" t="s">
        <v>101</v>
      </c>
      <c r="N10" s="70">
        <v>1.3</v>
      </c>
      <c r="O10" s="71">
        <v>0</v>
      </c>
      <c r="P10" s="72"/>
      <c r="Q10" s="73"/>
      <c r="S10" s="1" t="s">
        <v>309</v>
      </c>
      <c r="T10" s="1" t="s">
        <v>304</v>
      </c>
      <c r="U10" s="1" t="s">
        <v>295</v>
      </c>
    </row>
    <row r="11" spans="1:21" x14ac:dyDescent="0.3">
      <c r="A11" s="3" t="s">
        <v>309</v>
      </c>
      <c r="B11" s="69">
        <v>67.425988054334397</v>
      </c>
      <c r="C11" s="69">
        <v>65.8885451097795</v>
      </c>
      <c r="D11" s="69">
        <v>-1.5374429445548801</v>
      </c>
      <c r="E11" s="3" t="s">
        <v>309</v>
      </c>
      <c r="F11" s="69">
        <v>45.136535951987298</v>
      </c>
      <c r="G11" s="69">
        <v>47.190238411682003</v>
      </c>
      <c r="H11" s="69">
        <v>2.05370245969472</v>
      </c>
      <c r="I11" s="3" t="s">
        <v>309</v>
      </c>
      <c r="J11" s="69">
        <v>44.301059622675901</v>
      </c>
      <c r="K11" s="69">
        <v>47.839960271903102</v>
      </c>
      <c r="L11" s="69">
        <v>3.5389006492271999</v>
      </c>
      <c r="M11" s="3" t="s">
        <v>97</v>
      </c>
      <c r="N11" s="70">
        <v>0.77</v>
      </c>
      <c r="O11" s="71">
        <v>0.72</v>
      </c>
      <c r="P11" s="72"/>
      <c r="Q11" s="73"/>
      <c r="S11" s="78" t="s">
        <v>292</v>
      </c>
      <c r="T11" s="78" t="s">
        <v>299</v>
      </c>
      <c r="U11" s="78" t="s">
        <v>310</v>
      </c>
    </row>
    <row r="12" spans="1:21" x14ac:dyDescent="0.3">
      <c r="A12" s="3" t="s">
        <v>311</v>
      </c>
      <c r="B12" s="71">
        <v>44.399023008094957</v>
      </c>
      <c r="C12" s="71">
        <v>42.090790413009394</v>
      </c>
      <c r="D12" s="69">
        <v>-2.3082325950855633</v>
      </c>
      <c r="E12" s="3" t="s">
        <v>128</v>
      </c>
      <c r="F12" s="71">
        <v>29.898100867838359</v>
      </c>
      <c r="G12" s="71">
        <v>30.459037521962813</v>
      </c>
      <c r="H12" s="69">
        <v>0.56093665412445404</v>
      </c>
      <c r="I12" s="3" t="s">
        <v>128</v>
      </c>
      <c r="J12" s="71">
        <v>68.65955197333291</v>
      </c>
      <c r="K12" s="71">
        <v>68.798939309408567</v>
      </c>
      <c r="L12" s="69">
        <v>0.13938733607565723</v>
      </c>
      <c r="M12" s="3" t="s">
        <v>128</v>
      </c>
      <c r="N12" s="70">
        <v>2.2400000000000002</v>
      </c>
      <c r="O12" s="71">
        <v>3.27</v>
      </c>
      <c r="P12" s="72"/>
      <c r="Q12" s="73"/>
      <c r="S12" s="1" t="s">
        <v>312</v>
      </c>
      <c r="T12" s="1" t="s">
        <v>294</v>
      </c>
      <c r="U12" s="1" t="s">
        <v>295</v>
      </c>
    </row>
    <row r="13" spans="1:21" x14ac:dyDescent="0.3">
      <c r="A13" s="3" t="s">
        <v>298</v>
      </c>
      <c r="B13" s="69">
        <v>41.883031273108301</v>
      </c>
      <c r="C13" s="69">
        <v>39.210853373691201</v>
      </c>
      <c r="D13" s="69">
        <v>-2.6721778994171701</v>
      </c>
      <c r="E13" s="3" t="s">
        <v>298</v>
      </c>
      <c r="F13" s="69">
        <v>20.964669414917299</v>
      </c>
      <c r="G13" s="69">
        <v>22.566360583026199</v>
      </c>
      <c r="H13" s="69">
        <v>1.6016911681089201</v>
      </c>
      <c r="I13" s="3" t="s">
        <v>298</v>
      </c>
      <c r="J13" s="69">
        <v>69.211308924458393</v>
      </c>
      <c r="K13" s="69">
        <v>69.411639544383704</v>
      </c>
      <c r="L13" s="69">
        <v>0.200330619925326</v>
      </c>
      <c r="M13" s="3" t="s">
        <v>92</v>
      </c>
      <c r="N13" s="70">
        <v>44.33</v>
      </c>
      <c r="O13" s="71">
        <v>42.92</v>
      </c>
      <c r="P13" s="72">
        <v>0.52773809523809534</v>
      </c>
      <c r="Q13" s="72">
        <v>0.51661049590755892</v>
      </c>
      <c r="S13" s="1" t="s">
        <v>296</v>
      </c>
      <c r="T13" s="1" t="s">
        <v>294</v>
      </c>
      <c r="U13" s="1" t="s">
        <v>313</v>
      </c>
    </row>
    <row r="14" spans="1:21" x14ac:dyDescent="0.3">
      <c r="A14" s="3" t="s">
        <v>312</v>
      </c>
      <c r="B14" s="69">
        <v>48.6890841932942</v>
      </c>
      <c r="C14" s="69">
        <v>45.740427341080903</v>
      </c>
      <c r="D14" s="69">
        <v>-2.9486568522133698</v>
      </c>
      <c r="E14" s="3" t="s">
        <v>312</v>
      </c>
      <c r="F14" s="69">
        <v>45.531801264528802</v>
      </c>
      <c r="G14" s="69">
        <v>42.418141457399898</v>
      </c>
      <c r="H14" s="69">
        <v>-3.1136598071288901</v>
      </c>
      <c r="I14" s="3" t="s">
        <v>312</v>
      </c>
      <c r="J14" s="69">
        <v>68.588485466651605</v>
      </c>
      <c r="K14" s="69">
        <v>69.158009489261502</v>
      </c>
      <c r="L14" s="69">
        <v>0.56952402260984603</v>
      </c>
      <c r="M14" s="3" t="s">
        <v>99</v>
      </c>
      <c r="N14" s="70">
        <v>24.55</v>
      </c>
      <c r="O14" s="71">
        <v>25.06</v>
      </c>
      <c r="P14" s="72">
        <v>0.29226190476190483</v>
      </c>
      <c r="Q14" s="72">
        <v>0.30163697640828113</v>
      </c>
      <c r="S14" s="1" t="s">
        <v>300</v>
      </c>
      <c r="T14" s="1" t="s">
        <v>313</v>
      </c>
      <c r="U14" s="1" t="s">
        <v>295</v>
      </c>
    </row>
    <row r="15" spans="1:21" x14ac:dyDescent="0.3">
      <c r="A15" s="3" t="s">
        <v>301</v>
      </c>
      <c r="B15" s="69">
        <v>30.684204581758799</v>
      </c>
      <c r="C15" s="69">
        <v>27.3712389485476</v>
      </c>
      <c r="D15" s="69">
        <v>-3.3129656332112298</v>
      </c>
      <c r="E15" s="3" t="s">
        <v>301</v>
      </c>
      <c r="F15" s="69">
        <v>18.235250921287601</v>
      </c>
      <c r="G15" s="69">
        <v>15.954347188202901</v>
      </c>
      <c r="H15" s="69">
        <v>-2.2809037330847901</v>
      </c>
      <c r="I15" s="3" t="s">
        <v>301</v>
      </c>
      <c r="J15" s="69">
        <v>73.591917189706805</v>
      </c>
      <c r="K15" s="69">
        <v>75.7513092333201</v>
      </c>
      <c r="L15" s="69">
        <v>2.1593920436133001</v>
      </c>
      <c r="M15" s="3" t="s">
        <v>93</v>
      </c>
      <c r="N15" s="70">
        <v>4.05</v>
      </c>
      <c r="O15" s="71">
        <v>4.0599999999999996</v>
      </c>
      <c r="P15" s="72">
        <v>4.8214285714285723E-2</v>
      </c>
      <c r="Q15" s="72">
        <v>4.8868560423688E-2</v>
      </c>
      <c r="S15" s="1" t="s">
        <v>306</v>
      </c>
      <c r="T15" s="1" t="s">
        <v>294</v>
      </c>
      <c r="U15" s="1" t="s">
        <v>314</v>
      </c>
    </row>
    <row r="16" spans="1:21" x14ac:dyDescent="0.3">
      <c r="A16" s="3" t="s">
        <v>303</v>
      </c>
      <c r="B16" s="69">
        <v>54.4407129760435</v>
      </c>
      <c r="C16" s="69">
        <v>50.244631514610603</v>
      </c>
      <c r="D16" s="69">
        <v>-4.1960814614329101</v>
      </c>
      <c r="E16" s="3" t="s">
        <v>303</v>
      </c>
      <c r="F16" s="69">
        <v>33.402909481372603</v>
      </c>
      <c r="G16" s="69">
        <v>32.779500408734101</v>
      </c>
      <c r="H16" s="69">
        <v>-0.62340907263854195</v>
      </c>
      <c r="I16" s="3" t="s">
        <v>303</v>
      </c>
      <c r="J16" s="69">
        <v>49.227810407492001</v>
      </c>
      <c r="K16" s="69">
        <v>54.845771824582599</v>
      </c>
      <c r="L16" s="69">
        <v>5.6179614170906396</v>
      </c>
      <c r="M16" s="3" t="s">
        <v>94</v>
      </c>
      <c r="N16" s="70">
        <v>9.66</v>
      </c>
      <c r="O16" s="71">
        <v>9.84</v>
      </c>
      <c r="P16" s="72"/>
      <c r="Q16" s="73"/>
      <c r="S16" s="1" t="s">
        <v>308</v>
      </c>
      <c r="T16" s="1" t="s">
        <v>294</v>
      </c>
      <c r="U16" s="1" t="s">
        <v>295</v>
      </c>
    </row>
    <row r="17" spans="1:22" x14ac:dyDescent="0.3">
      <c r="A17" s="3" t="s">
        <v>305</v>
      </c>
      <c r="B17" s="69">
        <v>38.2878920535668</v>
      </c>
      <c r="C17" s="69">
        <v>33.710592896797003</v>
      </c>
      <c r="D17" s="69">
        <v>-4.5772991567697199</v>
      </c>
      <c r="E17" s="3" t="s">
        <v>305</v>
      </c>
      <c r="F17" s="69">
        <v>22.0465974208227</v>
      </c>
      <c r="G17" s="69">
        <v>18.454172307238199</v>
      </c>
      <c r="H17" s="69">
        <v>-3.5924251135844698</v>
      </c>
      <c r="I17" s="3" t="s">
        <v>305</v>
      </c>
      <c r="J17" s="69">
        <v>77.010413201995604</v>
      </c>
      <c r="K17" s="69">
        <v>74.767235211942193</v>
      </c>
      <c r="L17" s="69">
        <v>-2.2431779900534701</v>
      </c>
      <c r="M17" s="3" t="s">
        <v>95</v>
      </c>
      <c r="N17" s="70">
        <v>1.05</v>
      </c>
      <c r="O17" s="71">
        <v>1.04</v>
      </c>
      <c r="P17" s="72">
        <v>1.2500000000000002E-2</v>
      </c>
      <c r="Q17" s="72">
        <v>1.2518054886856041E-2</v>
      </c>
      <c r="S17" s="1" t="s">
        <v>315</v>
      </c>
    </row>
    <row r="19" spans="1:22" x14ac:dyDescent="0.3">
      <c r="C19" s="24" t="s">
        <v>0</v>
      </c>
    </row>
    <row r="20" spans="1:22" x14ac:dyDescent="0.3">
      <c r="C20" s="22" t="s">
        <v>316</v>
      </c>
    </row>
    <row r="25" spans="1:22" x14ac:dyDescent="0.3">
      <c r="V25" s="1" t="s">
        <v>317</v>
      </c>
    </row>
  </sheetData>
  <autoFilter ref="A2:M17" xr:uid="{AFF813D9-B89D-4BBE-A4C7-67B613B81D39}">
    <sortState xmlns:xlrd2="http://schemas.microsoft.com/office/spreadsheetml/2017/richdata2" ref="A3:M17">
      <sortCondition descending="1" ref="D2:D17"/>
    </sortState>
  </autoFilter>
  <mergeCells count="4">
    <mergeCell ref="A1:D1"/>
    <mergeCell ref="E1:H1"/>
    <mergeCell ref="I1:L1"/>
    <mergeCell ref="P1:Q1"/>
  </mergeCells>
  <conditionalFormatting sqref="D3:D17">
    <cfRule type="expression" dxfId="9" priority="6">
      <formula>D3&gt;0</formula>
    </cfRule>
    <cfRule type="expression" dxfId="8" priority="7">
      <formula>D3&lt;0</formula>
    </cfRule>
  </conditionalFormatting>
  <conditionalFormatting sqref="E3:E17 I3:I17">
    <cfRule type="cellIs" dxfId="7" priority="3" operator="equal">
      <formula>$A3</formula>
    </cfRule>
  </conditionalFormatting>
  <conditionalFormatting sqref="H3:H17">
    <cfRule type="expression" dxfId="6" priority="4">
      <formula>H3&gt;0</formula>
    </cfRule>
    <cfRule type="expression" dxfId="5" priority="5">
      <formula>H3&lt;0</formula>
    </cfRule>
  </conditionalFormatting>
  <conditionalFormatting sqref="N2:Q2 L3:L17">
    <cfRule type="expression" dxfId="4" priority="1">
      <formula>L2&lt;0</formula>
    </cfRule>
    <cfRule type="expression" dxfId="3" priority="2">
      <formula>L2&gt;0</formula>
    </cfRule>
  </conditionalFormatting>
  <hyperlinks>
    <hyperlink ref="C19" location="Index!A1" display="'Index" xr:uid="{A05D7B02-F1CF-470D-A4E1-649D9C221264}"/>
  </hyperlinks>
  <pageMargins left="0.7" right="0.7" top="0.75" bottom="0.75" header="0.3" footer="0.3"/>
  <headerFooter>
    <oddFooter>&amp;R_x000D_&amp;1#&amp;"Calibri"&amp;10&amp;K000000 Official Use Only</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E12EB-84AC-4B87-8452-AC289555B65A}">
  <dimension ref="A1:M28"/>
  <sheetViews>
    <sheetView showGridLines="0" zoomScaleNormal="100" workbookViewId="0">
      <selection activeCell="L31" sqref="L31"/>
    </sheetView>
  </sheetViews>
  <sheetFormatPr defaultRowHeight="14.4" x14ac:dyDescent="0.3"/>
  <cols>
    <col min="1" max="1" width="26.88671875" bestFit="1" customWidth="1"/>
    <col min="2" max="3" width="10" bestFit="1" customWidth="1"/>
    <col min="4" max="4" width="12" bestFit="1" customWidth="1"/>
    <col min="5" max="8" width="14.88671875" bestFit="1" customWidth="1"/>
    <col min="9" max="9" width="13.109375" bestFit="1" customWidth="1"/>
    <col min="10" max="10" width="14.88671875" hidden="1" customWidth="1"/>
    <col min="11" max="11" width="13.109375" bestFit="1" customWidth="1"/>
    <col min="12" max="12" width="15.88671875" bestFit="1" customWidth="1"/>
    <col min="13" max="13" width="13.5546875" customWidth="1"/>
  </cols>
  <sheetData>
    <row r="1" spans="1:13" x14ac:dyDescent="0.3">
      <c r="C1" s="188" t="s">
        <v>191</v>
      </c>
      <c r="D1" s="188"/>
      <c r="E1" s="188" t="s">
        <v>161</v>
      </c>
      <c r="F1" s="188"/>
      <c r="G1" s="188"/>
      <c r="H1" s="188"/>
      <c r="I1" s="188"/>
      <c r="J1" s="188"/>
      <c r="K1" s="188" t="s">
        <v>151</v>
      </c>
      <c r="L1" s="188"/>
      <c r="M1" s="188"/>
    </row>
    <row r="2" spans="1:13" s="5" customFormat="1" x14ac:dyDescent="0.3">
      <c r="A2" s="30" t="s">
        <v>196</v>
      </c>
      <c r="B2" s="30" t="s">
        <v>152</v>
      </c>
      <c r="C2" s="30" t="s">
        <v>239</v>
      </c>
      <c r="D2" s="30" t="s">
        <v>240</v>
      </c>
      <c r="E2" s="30" t="s">
        <v>162</v>
      </c>
      <c r="F2" s="30" t="s">
        <v>172</v>
      </c>
      <c r="G2" s="30" t="s">
        <v>241</v>
      </c>
      <c r="H2" s="30" t="s">
        <v>178</v>
      </c>
      <c r="I2" s="30" t="s">
        <v>318</v>
      </c>
      <c r="J2" s="30" t="s">
        <v>319</v>
      </c>
      <c r="K2" s="30" t="s">
        <v>153</v>
      </c>
      <c r="L2" s="30" t="s">
        <v>154</v>
      </c>
      <c r="M2" s="30" t="s">
        <v>155</v>
      </c>
    </row>
    <row r="3" spans="1:13" hidden="1" x14ac:dyDescent="0.3">
      <c r="A3" s="43" t="s">
        <v>203</v>
      </c>
      <c r="B3" s="44">
        <v>813.33609941668783</v>
      </c>
      <c r="C3" s="44">
        <v>897.77693887902615</v>
      </c>
      <c r="D3" s="44">
        <v>689.05461450672078</v>
      </c>
      <c r="E3" s="44">
        <v>488.86047806238912</v>
      </c>
      <c r="F3" s="44">
        <v>839.17559345675886</v>
      </c>
      <c r="G3" s="44">
        <v>938.76038676134931</v>
      </c>
      <c r="H3" s="44">
        <v>955.46101952827803</v>
      </c>
      <c r="I3" s="44">
        <v>851.85641136190725</v>
      </c>
      <c r="J3" s="44">
        <v>865.52420365204159</v>
      </c>
      <c r="K3" s="44">
        <v>530.68032589398933</v>
      </c>
      <c r="L3" s="44">
        <v>756.34594851635825</v>
      </c>
      <c r="M3" s="44">
        <v>1803.0692214050221</v>
      </c>
    </row>
    <row r="4" spans="1:13" x14ac:dyDescent="0.3">
      <c r="A4" s="43">
        <v>2016</v>
      </c>
      <c r="B4" s="44">
        <v>836.79398471752472</v>
      </c>
      <c r="C4" s="44">
        <v>922.43193285732184</v>
      </c>
      <c r="D4" s="44">
        <v>712.63930978328949</v>
      </c>
      <c r="E4" s="44">
        <v>506.37392709507708</v>
      </c>
      <c r="F4" s="44">
        <v>862.86554052361271</v>
      </c>
      <c r="G4" s="44">
        <v>960.78600651384215</v>
      </c>
      <c r="H4" s="44">
        <v>970.11515595640742</v>
      </c>
      <c r="I4" s="44">
        <v>865.93709257171497</v>
      </c>
      <c r="J4" s="44">
        <v>889.25607666290875</v>
      </c>
      <c r="K4" s="44">
        <v>530.70000000000005</v>
      </c>
      <c r="L4" s="44">
        <v>756.3</v>
      </c>
      <c r="M4" s="44">
        <v>1803.1</v>
      </c>
    </row>
    <row r="5" spans="1:13" hidden="1" x14ac:dyDescent="0.3">
      <c r="A5" s="43" t="s">
        <v>205</v>
      </c>
      <c r="B5" s="44">
        <v>844.73053146151926</v>
      </c>
      <c r="C5" s="44">
        <v>933.85282777638508</v>
      </c>
      <c r="D5" s="44">
        <v>716.49976811230886</v>
      </c>
      <c r="E5" s="44">
        <v>506.36223990975179</v>
      </c>
      <c r="F5" s="44">
        <v>871.58682125846087</v>
      </c>
      <c r="G5" s="44">
        <v>963.28523940837295</v>
      </c>
      <c r="H5" s="44">
        <v>982.60572323890699</v>
      </c>
      <c r="I5" s="44">
        <v>894.27002632238657</v>
      </c>
      <c r="J5" s="44">
        <v>896.29666457758844</v>
      </c>
      <c r="K5" s="44">
        <v>555.31390323389326</v>
      </c>
      <c r="L5" s="44">
        <v>783.18490849837053</v>
      </c>
      <c r="M5" s="44">
        <v>1803.829654048634</v>
      </c>
    </row>
    <row r="6" spans="1:13" hidden="1" x14ac:dyDescent="0.3">
      <c r="A6" s="43" t="s">
        <v>206</v>
      </c>
      <c r="B6" s="44">
        <v>846.92199798818058</v>
      </c>
      <c r="C6" s="44">
        <v>934.599429146234</v>
      </c>
      <c r="D6" s="44">
        <v>721.08514900037721</v>
      </c>
      <c r="E6" s="44">
        <v>508.46083113290592</v>
      </c>
      <c r="F6" s="44">
        <v>874.48290833647684</v>
      </c>
      <c r="G6" s="44">
        <v>958.89705394190867</v>
      </c>
      <c r="H6" s="44">
        <v>997.95439331070042</v>
      </c>
      <c r="I6" s="44">
        <v>879.4637608449641</v>
      </c>
      <c r="J6" s="44">
        <v>897.10842449390157</v>
      </c>
      <c r="K6" s="44">
        <v>553.26386017854895</v>
      </c>
      <c r="L6" s="44">
        <v>783.8946271847102</v>
      </c>
      <c r="M6" s="44">
        <v>1799.45943543317</v>
      </c>
    </row>
    <row r="7" spans="1:13" hidden="1" x14ac:dyDescent="0.3">
      <c r="A7" s="43" t="s">
        <v>216</v>
      </c>
      <c r="B7" s="44">
        <v>852.18664461127366</v>
      </c>
      <c r="C7" s="44">
        <v>940.03681511642696</v>
      </c>
      <c r="D7" s="44">
        <v>728.01134622725533</v>
      </c>
      <c r="E7" s="44">
        <v>498.79536836747678</v>
      </c>
      <c r="F7" s="44">
        <v>881.11001781397124</v>
      </c>
      <c r="G7" s="44">
        <v>971.79542308181703</v>
      </c>
      <c r="H7" s="44">
        <v>971.47629214912843</v>
      </c>
      <c r="I7" s="44">
        <v>901.54160580226494</v>
      </c>
      <c r="J7" s="44">
        <v>905.88835475251312</v>
      </c>
      <c r="K7" s="44">
        <v>552.39159562285283</v>
      </c>
      <c r="L7" s="44">
        <v>762.79866395215674</v>
      </c>
      <c r="M7" s="44">
        <v>1729.980769818043</v>
      </c>
    </row>
    <row r="8" spans="1:13" x14ac:dyDescent="0.3">
      <c r="A8" s="43">
        <v>2019</v>
      </c>
      <c r="B8" s="44">
        <v>844.07962901580811</v>
      </c>
      <c r="C8" s="44">
        <v>932.76181030086696</v>
      </c>
      <c r="D8" s="44">
        <v>720.93782891381954</v>
      </c>
      <c r="E8" s="44">
        <v>491.89943906170322</v>
      </c>
      <c r="F8" s="44">
        <v>872.60056603773592</v>
      </c>
      <c r="G8" s="44">
        <v>964.30706017338105</v>
      </c>
      <c r="H8" s="44">
        <v>960.20996940336556</v>
      </c>
      <c r="I8" s="44">
        <v>907.1046264660888</v>
      </c>
      <c r="J8" s="44">
        <v>897.79218383477814</v>
      </c>
      <c r="K8" s="44">
        <v>552.4</v>
      </c>
      <c r="L8" s="44">
        <v>762.8</v>
      </c>
      <c r="M8" s="44">
        <v>1730</v>
      </c>
    </row>
    <row r="9" spans="1:13" hidden="1" x14ac:dyDescent="0.3">
      <c r="A9" s="43" t="s">
        <v>218</v>
      </c>
      <c r="B9" s="44">
        <v>849.0344110913253</v>
      </c>
      <c r="C9" s="44">
        <v>938.57332485372694</v>
      </c>
      <c r="D9" s="44">
        <v>724.5365123378275</v>
      </c>
      <c r="E9" s="44">
        <v>492.96629865174248</v>
      </c>
      <c r="F9" s="44">
        <v>884.1500432459934</v>
      </c>
      <c r="G9" s="44">
        <v>962.76682777919098</v>
      </c>
      <c r="H9" s="44">
        <v>957.18124268633937</v>
      </c>
      <c r="I9" s="44">
        <v>867.58857669804127</v>
      </c>
      <c r="J9" s="44">
        <v>905.76234927499365</v>
      </c>
      <c r="K9" s="44">
        <v>544.87115110658863</v>
      </c>
      <c r="L9" s="44">
        <v>754.35044263546172</v>
      </c>
      <c r="M9" s="44">
        <v>1741.3667234800309</v>
      </c>
    </row>
    <row r="10" spans="1:13" hidden="1" x14ac:dyDescent="0.3">
      <c r="A10" s="43" t="s">
        <v>219</v>
      </c>
      <c r="B10" s="44">
        <v>849.72203998471912</v>
      </c>
      <c r="C10" s="44">
        <v>938.92219915955684</v>
      </c>
      <c r="D10" s="44">
        <v>726.41135107602179</v>
      </c>
      <c r="E10" s="44">
        <v>495.61532407996941</v>
      </c>
      <c r="F10" s="44">
        <v>881.98713103272632</v>
      </c>
      <c r="G10" s="44">
        <v>959.86123010314532</v>
      </c>
      <c r="H10" s="44">
        <v>974.70649688017306</v>
      </c>
      <c r="I10" s="44">
        <v>890.88445944225134</v>
      </c>
      <c r="J10" s="44">
        <v>903.25814847828849</v>
      </c>
      <c r="K10" s="44">
        <v>540.9176785941678</v>
      </c>
      <c r="L10" s="44">
        <v>751.54211256844519</v>
      </c>
      <c r="M10" s="44">
        <v>1749.0124194575319</v>
      </c>
    </row>
    <row r="11" spans="1:13" hidden="1" x14ac:dyDescent="0.3">
      <c r="A11" s="43" t="s">
        <v>232</v>
      </c>
      <c r="B11" s="44">
        <v>846.80660020320045</v>
      </c>
      <c r="C11" s="44">
        <v>932.42470408940835</v>
      </c>
      <c r="D11" s="44">
        <v>729.66590424180845</v>
      </c>
      <c r="E11" s="44">
        <v>518.64722250444504</v>
      </c>
      <c r="F11" s="44">
        <v>890.02046101092208</v>
      </c>
      <c r="G11" s="44">
        <v>934.68824866649743</v>
      </c>
      <c r="H11" s="44">
        <v>922.92649098298205</v>
      </c>
      <c r="I11" s="44">
        <v>837.38629540259092</v>
      </c>
      <c r="J11" s="44">
        <v>902.49487934975866</v>
      </c>
      <c r="K11" s="44">
        <v>559.98851028702063</v>
      </c>
      <c r="L11" s="44">
        <v>740.41659893319786</v>
      </c>
      <c r="M11" s="44">
        <v>1598.7203263906531</v>
      </c>
    </row>
    <row r="12" spans="1:13" x14ac:dyDescent="0.3">
      <c r="A12" s="43">
        <v>2023</v>
      </c>
      <c r="B12" s="44">
        <v>849.36466437833712</v>
      </c>
      <c r="C12" s="44">
        <v>936.95509280447504</v>
      </c>
      <c r="D12" s="44">
        <v>730.40468090516151</v>
      </c>
      <c r="E12" s="44">
        <v>524.19360030511064</v>
      </c>
      <c r="F12" s="44">
        <v>889.85634248665144</v>
      </c>
      <c r="G12" s="44">
        <v>950.54825197050616</v>
      </c>
      <c r="H12" s="44">
        <v>912.54554411390802</v>
      </c>
      <c r="I12" s="44">
        <v>842.39122171370457</v>
      </c>
      <c r="J12" s="44">
        <v>906.81318332062051</v>
      </c>
      <c r="K12" s="44">
        <v>562.97974192728202</v>
      </c>
      <c r="L12" s="44">
        <v>739.67994406305627</v>
      </c>
      <c r="M12" s="44">
        <v>1595.3042664632601</v>
      </c>
    </row>
    <row r="13" spans="1:13" hidden="1" x14ac:dyDescent="0.3">
      <c r="A13" s="43" t="s">
        <v>234</v>
      </c>
      <c r="B13" s="44">
        <v>863.15407896407271</v>
      </c>
      <c r="C13" s="44">
        <v>950.59768693665114</v>
      </c>
      <c r="D13" s="44">
        <v>744.75887647581567</v>
      </c>
      <c r="E13" s="44">
        <v>526.84472895772501</v>
      </c>
      <c r="F13" s="44">
        <v>904.79702424781021</v>
      </c>
      <c r="G13" s="44">
        <v>967.96488383902511</v>
      </c>
      <c r="H13" s="44">
        <v>917.59474165291363</v>
      </c>
      <c r="I13" s="44">
        <v>884.03899454106897</v>
      </c>
      <c r="J13" s="44">
        <v>922.6461901739242</v>
      </c>
      <c r="K13" s="44">
        <v>562.98920020312312</v>
      </c>
      <c r="L13" s="44">
        <v>750.68188650501463</v>
      </c>
      <c r="M13" s="44">
        <v>1629.0978367398759</v>
      </c>
    </row>
    <row r="14" spans="1:13" hidden="1" x14ac:dyDescent="0.3">
      <c r="A14" s="43" t="s">
        <v>235</v>
      </c>
      <c r="B14" s="44">
        <v>861.27263050933573</v>
      </c>
      <c r="C14" s="44">
        <v>950.92609170583</v>
      </c>
      <c r="D14" s="44">
        <v>740.83668614251224</v>
      </c>
      <c r="E14" s="44">
        <v>525.95487488886056</v>
      </c>
      <c r="F14" s="44">
        <v>907.06061221897619</v>
      </c>
      <c r="G14" s="44">
        <v>958.22812904864725</v>
      </c>
      <c r="H14" s="44">
        <v>909.58551251111373</v>
      </c>
      <c r="I14" s="44">
        <v>874.62877302171955</v>
      </c>
      <c r="J14" s="44">
        <v>921.45308522799428</v>
      </c>
      <c r="K14" s="44">
        <v>555.45832211355253</v>
      </c>
      <c r="L14" s="44">
        <v>751.28205385494721</v>
      </c>
      <c r="M14" s="44">
        <v>1629.5949904737711</v>
      </c>
    </row>
    <row r="15" spans="1:13" hidden="1" x14ac:dyDescent="0.3">
      <c r="A15" s="43" t="s">
        <v>236</v>
      </c>
      <c r="B15" s="44">
        <v>867.05888888888887</v>
      </c>
      <c r="C15" s="44">
        <v>954.7089624556063</v>
      </c>
      <c r="D15" s="44">
        <v>748.16692288178581</v>
      </c>
      <c r="E15" s="44">
        <v>527.94688356164386</v>
      </c>
      <c r="F15" s="44">
        <v>907.75859715880256</v>
      </c>
      <c r="G15" s="44">
        <v>974.40222729578909</v>
      </c>
      <c r="H15" s="44">
        <v>921.23788812785381</v>
      </c>
      <c r="I15" s="44">
        <v>878.80390791476407</v>
      </c>
      <c r="J15" s="44">
        <v>927.06436707255205</v>
      </c>
      <c r="K15" s="44">
        <v>562.9417541856925</v>
      </c>
      <c r="L15" s="44">
        <v>752.16669964485027</v>
      </c>
      <c r="M15" s="44">
        <v>1625.4728868594621</v>
      </c>
    </row>
    <row r="16" spans="1:13" x14ac:dyDescent="0.3">
      <c r="A16" s="43">
        <v>2024</v>
      </c>
      <c r="B16" s="44">
        <v>882.69253448057702</v>
      </c>
      <c r="C16" s="44">
        <v>976.32664557762882</v>
      </c>
      <c r="D16" s="44">
        <v>756.55441984056688</v>
      </c>
      <c r="E16" s="44">
        <v>536.46099708971281</v>
      </c>
      <c r="F16" s="44">
        <v>926.07489813994687</v>
      </c>
      <c r="G16" s="44">
        <v>990.04483740351759</v>
      </c>
      <c r="H16" s="44">
        <v>929.46019865873711</v>
      </c>
      <c r="I16" s="44">
        <v>923.05200936353287</v>
      </c>
      <c r="J16" s="44">
        <v>944.19678856130577</v>
      </c>
      <c r="K16" s="44">
        <v>567.3879691256484</v>
      </c>
      <c r="L16" s="44">
        <v>761.88797418701756</v>
      </c>
      <c r="M16" s="44">
        <v>1667.2421156522839</v>
      </c>
    </row>
    <row r="17" spans="1:13" hidden="1" x14ac:dyDescent="0.3">
      <c r="A17" t="s">
        <v>244</v>
      </c>
      <c r="B17" s="36">
        <v>889.14795457636319</v>
      </c>
      <c r="C17" s="36">
        <v>982.58439004487968</v>
      </c>
      <c r="D17" s="36">
        <v>762.51897184822508</v>
      </c>
      <c r="E17" s="36">
        <v>536.11700666394665</v>
      </c>
      <c r="F17" s="36">
        <v>939.89834625322987</v>
      </c>
      <c r="G17" s="36">
        <v>981.390171358629</v>
      </c>
      <c r="H17" s="36">
        <v>939.46503059975521</v>
      </c>
      <c r="I17" s="36">
        <v>903.6833414932679</v>
      </c>
      <c r="J17" s="36">
        <v>951.47878824969405</v>
      </c>
      <c r="K17" s="36">
        <v>567.69564667482655</v>
      </c>
      <c r="L17" s="36">
        <v>760.64795593635245</v>
      </c>
      <c r="M17" s="36">
        <v>1701.0323147014819</v>
      </c>
    </row>
    <row r="18" spans="1:13" hidden="1" x14ac:dyDescent="0.3">
      <c r="A18" t="s">
        <v>245</v>
      </c>
      <c r="B18" s="36">
        <v>1315.37</v>
      </c>
      <c r="C18" s="36">
        <v>1360.99</v>
      </c>
      <c r="D18" s="36">
        <v>1244.0999999999999</v>
      </c>
      <c r="E18" s="36">
        <v>918.99</v>
      </c>
      <c r="F18" s="36">
        <v>1467.23</v>
      </c>
      <c r="G18" s="36">
        <v>1339.99</v>
      </c>
      <c r="H18" s="36">
        <v>1121.1400000000001</v>
      </c>
      <c r="I18" s="36">
        <v>922.04</v>
      </c>
      <c r="J18" s="36">
        <v>1431.98</v>
      </c>
      <c r="K18" s="36">
        <v>838.18</v>
      </c>
      <c r="L18" s="36">
        <v>1258.6600000000001</v>
      </c>
      <c r="M18" s="36">
        <v>2681.21</v>
      </c>
    </row>
    <row r="19" spans="1:13" x14ac:dyDescent="0.3">
      <c r="A19" s="31" t="s">
        <v>123</v>
      </c>
      <c r="B19" s="44">
        <v>0.28938232030024658</v>
      </c>
      <c r="C19" s="44">
        <v>0.37189937447719146</v>
      </c>
      <c r="D19" s="44">
        <v>0.38666191797160909</v>
      </c>
      <c r="E19" s="44">
        <v>-0.9620450928070734</v>
      </c>
      <c r="F19" s="44">
        <v>0.37466797046130651</v>
      </c>
      <c r="G19" s="44">
        <v>0.12200986467154618</v>
      </c>
      <c r="H19" s="44">
        <v>-0.34150896895067673</v>
      </c>
      <c r="I19" s="44">
        <v>1.5602309068510012</v>
      </c>
      <c r="J19" s="44">
        <v>0.31895344837047368</v>
      </c>
      <c r="K19" s="44">
        <v>1.3448134103714926</v>
      </c>
      <c r="L19" s="44">
        <v>0.28566561095355603</v>
      </c>
      <c r="M19" s="44">
        <v>-1.3700612894497088</v>
      </c>
    </row>
    <row r="20" spans="1:13" x14ac:dyDescent="0.3">
      <c r="A20" s="31" t="s">
        <v>246</v>
      </c>
      <c r="B20" s="44">
        <v>3.9238587970495731</v>
      </c>
      <c r="C20" s="44">
        <v>4.2020746859177338</v>
      </c>
      <c r="D20" s="44">
        <v>3.5801713240664057</v>
      </c>
      <c r="E20" s="44">
        <v>2.3402416163535555</v>
      </c>
      <c r="F20" s="44">
        <v>4.0701576112931681</v>
      </c>
      <c r="G20" s="44">
        <v>4.1551373484864262</v>
      </c>
      <c r="H20" s="44">
        <v>1.8535682579277069</v>
      </c>
      <c r="I20" s="44">
        <v>9.5752170215802401</v>
      </c>
      <c r="J20" s="44">
        <v>4.1225255574463437</v>
      </c>
      <c r="K20" s="44">
        <v>0.7830170199864428</v>
      </c>
      <c r="L20" s="44">
        <v>3.0023837069277137</v>
      </c>
      <c r="M20" s="44">
        <v>4.5093497648889036</v>
      </c>
    </row>
    <row r="21" spans="1:13" hidden="1" x14ac:dyDescent="0.3">
      <c r="B21" s="46">
        <f t="shared" ref="B21:M21" si="0">+B16/B4</f>
        <v>1.0548504776579462</v>
      </c>
      <c r="C21" s="46">
        <f t="shared" si="0"/>
        <v>1.0584267638625247</v>
      </c>
      <c r="D21" s="46">
        <f t="shared" si="0"/>
        <v>1.0616231934646319</v>
      </c>
      <c r="E21" s="46">
        <f t="shared" si="0"/>
        <v>1.0594167045037977</v>
      </c>
      <c r="F21" s="46">
        <f t="shared" si="0"/>
        <v>1.0732551650839792</v>
      </c>
      <c r="G21" s="46">
        <f t="shared" si="0"/>
        <v>1.0304530152305604</v>
      </c>
      <c r="H21" s="46">
        <f t="shared" si="0"/>
        <v>0.95809264802425465</v>
      </c>
      <c r="I21" s="46">
        <f t="shared" si="0"/>
        <v>1.0659573510382774</v>
      </c>
      <c r="J21" s="46">
        <f t="shared" si="0"/>
        <v>1.0617827792693548</v>
      </c>
      <c r="K21" s="46">
        <f t="shared" si="0"/>
        <v>1.069131277794702</v>
      </c>
      <c r="L21" s="46">
        <f t="shared" si="0"/>
        <v>1.0073885682758397</v>
      </c>
      <c r="M21" s="46">
        <f t="shared" si="0"/>
        <v>0.92465316158409627</v>
      </c>
    </row>
    <row r="22" spans="1:13" hidden="1" x14ac:dyDescent="0.3">
      <c r="D22">
        <f>+D16/C16</f>
        <v>0.77489887556327319</v>
      </c>
      <c r="G22" t="s">
        <v>320</v>
      </c>
      <c r="L22" t="s">
        <v>321</v>
      </c>
    </row>
    <row r="23" spans="1:13" hidden="1" x14ac:dyDescent="0.3">
      <c r="B23">
        <f t="shared" ref="B23:M23" si="1">+B12/B4</f>
        <v>1.0150224307181843</v>
      </c>
      <c r="C23">
        <f t="shared" si="1"/>
        <v>1.0157444245259011</v>
      </c>
      <c r="D23">
        <f t="shared" si="1"/>
        <v>1.0249289800295669</v>
      </c>
      <c r="E23">
        <f t="shared" si="1"/>
        <v>1.0351907399977325</v>
      </c>
      <c r="F23">
        <f t="shared" si="1"/>
        <v>1.0312804263184041</v>
      </c>
      <c r="G23">
        <f t="shared" si="1"/>
        <v>0.98934439669819596</v>
      </c>
      <c r="H23">
        <f t="shared" si="1"/>
        <v>0.94065692975825821</v>
      </c>
      <c r="I23">
        <f t="shared" si="1"/>
        <v>0.97280879747501936</v>
      </c>
      <c r="J23">
        <f t="shared" si="1"/>
        <v>1.0197435891847912</v>
      </c>
      <c r="K23">
        <f t="shared" si="1"/>
        <v>1.0608248387550065</v>
      </c>
      <c r="L23">
        <f t="shared" si="1"/>
        <v>0.97802451945399482</v>
      </c>
      <c r="M23">
        <f t="shared" si="1"/>
        <v>0.88475640090026075</v>
      </c>
    </row>
    <row r="24" spans="1:13" hidden="1" x14ac:dyDescent="0.3">
      <c r="K24">
        <f>+K8/K4</f>
        <v>1.0408893913698887</v>
      </c>
      <c r="L24">
        <f>+L8/L4</f>
        <v>1.0085944730926881</v>
      </c>
      <c r="M24">
        <f>+M8/M4</f>
        <v>0.95945870999944549</v>
      </c>
    </row>
    <row r="25" spans="1:13" hidden="1" x14ac:dyDescent="0.3">
      <c r="K25">
        <f>+K16/K12</f>
        <v>1.0078301701998644</v>
      </c>
      <c r="L25">
        <f>+L16/L12</f>
        <v>1.0300238370692771</v>
      </c>
      <c r="M25">
        <f>+M16/M12</f>
        <v>1.045093497648889</v>
      </c>
    </row>
    <row r="27" spans="1:13" x14ac:dyDescent="0.3">
      <c r="C27" s="24" t="s">
        <v>0</v>
      </c>
    </row>
    <row r="28" spans="1:13" x14ac:dyDescent="0.3">
      <c r="C28" s="38" t="s">
        <v>322</v>
      </c>
    </row>
  </sheetData>
  <mergeCells count="3">
    <mergeCell ref="C1:D1"/>
    <mergeCell ref="E1:J1"/>
    <mergeCell ref="K1:M1"/>
  </mergeCells>
  <hyperlinks>
    <hyperlink ref="C27" location="Index!A1" display="'Index" xr:uid="{C156C539-71A8-4721-BE9E-4F478757BF18}"/>
  </hyperlinks>
  <pageMargins left="0.7" right="0.7" top="0.75" bottom="0.75" header="0.3" footer="0.3"/>
  <headerFooter>
    <oddFooter>&amp;R_x000D_&amp;1#&amp;"Calibri"&amp;10&amp;K000000 Official Use Only</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CC1F1-258C-4C5D-9643-BD7170ED3707}">
  <dimension ref="A1:F17"/>
  <sheetViews>
    <sheetView showGridLines="0" workbookViewId="0">
      <selection activeCell="F26" sqref="F26"/>
    </sheetView>
  </sheetViews>
  <sheetFormatPr defaultRowHeight="14.4" x14ac:dyDescent="0.3"/>
  <cols>
    <col min="1" max="1" width="17.88671875" bestFit="1" customWidth="1"/>
    <col min="2" max="2" width="13" bestFit="1" customWidth="1"/>
    <col min="3" max="3" width="7" bestFit="1" customWidth="1"/>
    <col min="4" max="4" width="13" bestFit="1" customWidth="1"/>
  </cols>
  <sheetData>
    <row r="1" spans="1:6" x14ac:dyDescent="0.3">
      <c r="A1" s="24" t="s">
        <v>0</v>
      </c>
    </row>
    <row r="2" spans="1:6" x14ac:dyDescent="0.3">
      <c r="A2" s="192" t="s">
        <v>323</v>
      </c>
      <c r="B2" s="192"/>
      <c r="C2" s="192"/>
      <c r="D2" s="192"/>
      <c r="E2" s="192"/>
      <c r="F2" s="192"/>
    </row>
    <row r="4" spans="1:6" x14ac:dyDescent="0.3">
      <c r="A4" s="31"/>
      <c r="B4" s="31" t="s">
        <v>324</v>
      </c>
      <c r="C4" s="31" t="s">
        <v>325</v>
      </c>
      <c r="D4" s="31" t="s">
        <v>326</v>
      </c>
    </row>
    <row r="5" spans="1:6" x14ac:dyDescent="0.3">
      <c r="A5" s="31" t="s">
        <v>97</v>
      </c>
      <c r="B5" s="80">
        <v>33.599716965190943</v>
      </c>
      <c r="C5" s="80">
        <v>88.773656640757011</v>
      </c>
      <c r="D5" s="80">
        <v>134.39612200067589</v>
      </c>
      <c r="F5" s="79"/>
    </row>
    <row r="6" spans="1:6" x14ac:dyDescent="0.3">
      <c r="A6" s="31" t="s">
        <v>127</v>
      </c>
      <c r="B6" s="80">
        <v>34.153007772896245</v>
      </c>
      <c r="C6" s="80">
        <v>85.409978033119302</v>
      </c>
      <c r="D6" s="80">
        <v>129.75561845217979</v>
      </c>
      <c r="F6" s="79"/>
    </row>
    <row r="7" spans="1:6" x14ac:dyDescent="0.3">
      <c r="A7" s="31" t="s">
        <v>94</v>
      </c>
      <c r="B7" s="80">
        <v>34.636279148360934</v>
      </c>
      <c r="C7" s="80">
        <v>87.634124704291978</v>
      </c>
      <c r="D7" s="80">
        <v>145.14616424467727</v>
      </c>
      <c r="F7" s="79"/>
    </row>
    <row r="8" spans="1:6" x14ac:dyDescent="0.3">
      <c r="A8" s="31" t="s">
        <v>90</v>
      </c>
      <c r="B8" s="80">
        <v>41.739819195674215</v>
      </c>
      <c r="C8" s="80">
        <v>104.35641263940521</v>
      </c>
      <c r="D8" s="80">
        <v>187.83055931057788</v>
      </c>
      <c r="F8" s="79"/>
    </row>
    <row r="9" spans="1:6" x14ac:dyDescent="0.3">
      <c r="A9" s="31" t="s">
        <v>91</v>
      </c>
      <c r="B9" s="80">
        <v>45.654042750929371</v>
      </c>
      <c r="C9" s="80">
        <v>107.41804663737749</v>
      </c>
      <c r="D9" s="80">
        <v>182.72325954714432</v>
      </c>
      <c r="F9" s="79"/>
    </row>
    <row r="10" spans="1:6" x14ac:dyDescent="0.3">
      <c r="A10" s="31" t="s">
        <v>99</v>
      </c>
      <c r="B10" s="80">
        <v>46.27186127069956</v>
      </c>
      <c r="C10" s="80">
        <v>84.091965190942886</v>
      </c>
      <c r="D10" s="80">
        <v>127.11959276782696</v>
      </c>
      <c r="F10" s="79"/>
    </row>
    <row r="11" spans="1:6" x14ac:dyDescent="0.3">
      <c r="A11" s="31" t="s">
        <v>126</v>
      </c>
      <c r="B11" s="80">
        <v>47.37157823589051</v>
      </c>
      <c r="C11" s="80">
        <v>104.96050185873607</v>
      </c>
      <c r="D11" s="80">
        <v>159.50701250422441</v>
      </c>
      <c r="F11" s="79"/>
    </row>
    <row r="12" spans="1:6" x14ac:dyDescent="0.3">
      <c r="A12" s="31" t="s">
        <v>100</v>
      </c>
      <c r="B12" s="80">
        <v>49.1563872930044</v>
      </c>
      <c r="C12" s="80">
        <v>86.110172355525521</v>
      </c>
      <c r="D12" s="80">
        <v>156.40419060493412</v>
      </c>
      <c r="F12" s="79"/>
    </row>
    <row r="13" spans="1:6" x14ac:dyDescent="0.3">
      <c r="A13" s="31" t="s">
        <v>96</v>
      </c>
      <c r="B13" s="80">
        <v>52.397875126732011</v>
      </c>
      <c r="C13" s="80">
        <v>93.002281176072998</v>
      </c>
      <c r="D13" s="80">
        <v>164.58685366677932</v>
      </c>
      <c r="F13" s="79"/>
    </row>
    <row r="14" spans="1:6" x14ac:dyDescent="0.3">
      <c r="A14" s="31" t="s">
        <v>92</v>
      </c>
      <c r="B14" s="80">
        <v>57.879984792159512</v>
      </c>
      <c r="C14" s="80">
        <v>81.977652923284907</v>
      </c>
      <c r="D14" s="80">
        <v>163.96903514700912</v>
      </c>
      <c r="F14" s="79"/>
    </row>
    <row r="15" spans="1:6" x14ac:dyDescent="0.3">
      <c r="A15" s="31" t="s">
        <v>101</v>
      </c>
      <c r="B15" s="80">
        <v>60.408921933085502</v>
      </c>
      <c r="C15" s="80">
        <v>122.36925481581615</v>
      </c>
      <c r="D15" s="80">
        <v>218.89996620479891</v>
      </c>
      <c r="F15" s="79"/>
    </row>
    <row r="16" spans="1:6" x14ac:dyDescent="0.3">
      <c r="A16" s="31" t="s">
        <v>95</v>
      </c>
      <c r="B16" s="80">
        <v>76.166040047313274</v>
      </c>
      <c r="C16" s="80">
        <v>130.64802298073676</v>
      </c>
      <c r="D16" s="80">
        <v>222.95010983440355</v>
      </c>
      <c r="F16" s="79"/>
    </row>
    <row r="17" spans="1:6" x14ac:dyDescent="0.3">
      <c r="A17" s="31" t="s">
        <v>93</v>
      </c>
      <c r="B17" s="80">
        <v>76.90330348090572</v>
      </c>
      <c r="C17" s="80">
        <v>123.24793004393378</v>
      </c>
      <c r="D17" s="80">
        <v>236.226343359243</v>
      </c>
      <c r="F17" s="79"/>
    </row>
  </sheetData>
  <mergeCells count="1">
    <mergeCell ref="A2:F2"/>
  </mergeCells>
  <hyperlinks>
    <hyperlink ref="A1" location="Index!A1" display="'Index" xr:uid="{90061C0B-CA49-4189-AE29-B3664E6C7C32}"/>
  </hyperlinks>
  <pageMargins left="0.7" right="0.7" top="0.75" bottom="0.75" header="0.3" footer="0.3"/>
  <headerFooter>
    <oddFooter>&amp;R_x000D_&amp;1#&amp;"Calibri"&amp;10&amp;K000000 Official Use Only</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B7C87-A6B9-4488-8216-8B1F3160DF63}">
  <dimension ref="A1:Z29"/>
  <sheetViews>
    <sheetView showGridLines="0" zoomScale="70" zoomScaleNormal="70" workbookViewId="0">
      <selection activeCell="N54" sqref="N54"/>
    </sheetView>
  </sheetViews>
  <sheetFormatPr defaultColWidth="9.109375" defaultRowHeight="14.4" x14ac:dyDescent="0.3"/>
  <cols>
    <col min="1" max="1" width="9.109375" style="81"/>
    <col min="2" max="2" width="19.109375" style="81" bestFit="1" customWidth="1"/>
    <col min="3" max="3" width="7" style="81" hidden="1" customWidth="1"/>
    <col min="4" max="5" width="12.88671875" style="85" customWidth="1"/>
    <col min="6" max="6" width="10" style="85" customWidth="1"/>
    <col min="7" max="7" width="24.44140625" style="85" bestFit="1" customWidth="1"/>
    <col min="8" max="8" width="30.44140625" style="81" bestFit="1" customWidth="1"/>
    <col min="9" max="9" width="12.109375" style="81" bestFit="1" customWidth="1"/>
    <col min="10" max="10" width="12" style="81" bestFit="1" customWidth="1"/>
    <col min="11" max="11" width="9.109375" style="81"/>
    <col min="12" max="12" width="32.5546875" style="81" bestFit="1" customWidth="1"/>
    <col min="13" max="20" width="9.109375" style="81"/>
    <col min="21" max="21" width="21" style="81" bestFit="1" customWidth="1"/>
    <col min="22" max="22" width="21" style="81" customWidth="1"/>
    <col min="23" max="23" width="22.109375" style="81" bestFit="1" customWidth="1"/>
    <col min="24" max="24" width="28.109375" style="81" bestFit="1" customWidth="1"/>
    <col min="25" max="25" width="22.109375" style="81" bestFit="1" customWidth="1"/>
    <col min="26" max="26" width="28.109375" style="81" bestFit="1" customWidth="1"/>
    <col min="27" max="16384" width="9.109375" style="81"/>
  </cols>
  <sheetData>
    <row r="1" spans="1:26" x14ac:dyDescent="0.3">
      <c r="A1" s="86"/>
      <c r="B1" s="82" t="s">
        <v>119</v>
      </c>
      <c r="C1" s="82" t="s">
        <v>327</v>
      </c>
      <c r="D1" s="83" t="s">
        <v>328</v>
      </c>
      <c r="E1" s="83" t="s">
        <v>329</v>
      </c>
      <c r="F1" s="84" t="s">
        <v>330</v>
      </c>
      <c r="G1" s="82" t="s">
        <v>331</v>
      </c>
      <c r="H1" s="82" t="s">
        <v>332</v>
      </c>
      <c r="I1" s="82" t="s">
        <v>333</v>
      </c>
      <c r="J1" s="82" t="s">
        <v>334</v>
      </c>
      <c r="K1" s="82" t="s">
        <v>335</v>
      </c>
      <c r="L1" s="82" t="s">
        <v>336</v>
      </c>
      <c r="N1" s="81" t="s">
        <v>337</v>
      </c>
      <c r="U1" s="86"/>
      <c r="V1" s="86"/>
      <c r="W1" s="82" t="s">
        <v>331</v>
      </c>
      <c r="X1" s="82" t="s">
        <v>336</v>
      </c>
      <c r="Y1" s="82" t="s">
        <v>331</v>
      </c>
      <c r="Z1" s="82" t="s">
        <v>336</v>
      </c>
    </row>
    <row r="2" spans="1:26" x14ac:dyDescent="0.3">
      <c r="A2" s="86" t="s">
        <v>303</v>
      </c>
      <c r="B2" s="86" t="s">
        <v>94</v>
      </c>
      <c r="C2" s="86" t="s">
        <v>128</v>
      </c>
      <c r="D2" s="88">
        <v>2023</v>
      </c>
      <c r="E2" s="88">
        <v>2023</v>
      </c>
      <c r="F2" s="88">
        <v>2021</v>
      </c>
      <c r="G2" s="89">
        <v>3.8722637663902941</v>
      </c>
      <c r="H2" s="90">
        <v>5.7698234992627384</v>
      </c>
      <c r="I2" s="86">
        <v>39805.671640455585</v>
      </c>
      <c r="J2" s="86">
        <v>40035.039970799175</v>
      </c>
      <c r="K2" s="86">
        <v>2</v>
      </c>
      <c r="L2" s="87">
        <v>0.28769626635725132</v>
      </c>
      <c r="N2" s="81" t="s">
        <v>338</v>
      </c>
      <c r="U2" s="86" t="s">
        <v>142</v>
      </c>
      <c r="V2" s="86" t="s">
        <v>142</v>
      </c>
      <c r="W2" s="87">
        <v>3.2859911947610949</v>
      </c>
      <c r="X2" s="87">
        <v>1.0463574521639485</v>
      </c>
      <c r="Y2" s="159"/>
      <c r="Z2" s="159"/>
    </row>
    <row r="3" spans="1:26" x14ac:dyDescent="0.3">
      <c r="A3" s="86" t="s">
        <v>339</v>
      </c>
      <c r="B3" s="86" t="s">
        <v>142</v>
      </c>
      <c r="C3" s="86" t="s">
        <v>340</v>
      </c>
      <c r="D3" s="88">
        <v>2023</v>
      </c>
      <c r="E3" s="88">
        <v>2023</v>
      </c>
      <c r="F3" s="88">
        <v>2019</v>
      </c>
      <c r="G3" s="89">
        <v>3.2859911947610949</v>
      </c>
      <c r="H3" s="90"/>
      <c r="I3" s="86">
        <v>39979.87892523918</v>
      </c>
      <c r="J3" s="86">
        <v>41679.655897450524</v>
      </c>
      <c r="K3" s="86">
        <v>4</v>
      </c>
      <c r="L3" s="87">
        <v>1.0463574521639485</v>
      </c>
      <c r="N3" s="81" t="s">
        <v>341</v>
      </c>
      <c r="U3" s="86" t="s">
        <v>137</v>
      </c>
      <c r="V3" s="86" t="s">
        <v>137</v>
      </c>
      <c r="W3" s="87">
        <v>2.7788913522443388</v>
      </c>
      <c r="X3" s="87">
        <v>2.8543638629436874</v>
      </c>
      <c r="Y3" s="159"/>
      <c r="Z3" s="159"/>
    </row>
    <row r="4" spans="1:26" x14ac:dyDescent="0.3">
      <c r="A4" s="86" t="s">
        <v>308</v>
      </c>
      <c r="B4" s="86" t="s">
        <v>101</v>
      </c>
      <c r="C4" s="86" t="s">
        <v>128</v>
      </c>
      <c r="D4" s="88">
        <v>2024</v>
      </c>
      <c r="E4" s="88">
        <v>2023</v>
      </c>
      <c r="F4" s="88">
        <v>2022</v>
      </c>
      <c r="G4" s="89">
        <v>3.1067407636980349</v>
      </c>
      <c r="H4" s="90">
        <v>3.8880775289136471</v>
      </c>
      <c r="I4" s="86">
        <v>65553.657853668527</v>
      </c>
      <c r="J4" s="86">
        <v>65116.656603023039</v>
      </c>
      <c r="K4" s="86">
        <v>1</v>
      </c>
      <c r="L4" s="87">
        <v>-0.66663137489746394</v>
      </c>
      <c r="U4" s="86" t="s">
        <v>99</v>
      </c>
      <c r="V4" s="86" t="s">
        <v>99</v>
      </c>
      <c r="W4" s="87"/>
      <c r="X4" s="87"/>
      <c r="Y4" s="159">
        <v>2.1804242550293562</v>
      </c>
      <c r="Z4" s="159">
        <v>-0.78235300247738726</v>
      </c>
    </row>
    <row r="5" spans="1:26" x14ac:dyDescent="0.3">
      <c r="A5" s="86" t="s">
        <v>339</v>
      </c>
      <c r="B5" s="86" t="s">
        <v>137</v>
      </c>
      <c r="C5" s="86" t="s">
        <v>340</v>
      </c>
      <c r="D5" s="88">
        <v>2021</v>
      </c>
      <c r="E5" s="88">
        <v>2021</v>
      </c>
      <c r="F5" s="88">
        <v>2016</v>
      </c>
      <c r="G5" s="89">
        <v>2.7788913522443388</v>
      </c>
      <c r="H5" s="90"/>
      <c r="I5" s="86">
        <v>32408.914652665622</v>
      </c>
      <c r="J5" s="86">
        <v>37305.949634858647</v>
      </c>
      <c r="K5" s="86">
        <v>5</v>
      </c>
      <c r="L5" s="87">
        <v>2.8543638629436874</v>
      </c>
      <c r="U5" s="86" t="s">
        <v>342</v>
      </c>
      <c r="V5" s="86" t="s">
        <v>342</v>
      </c>
      <c r="W5" s="87">
        <v>2.2264764136111341</v>
      </c>
      <c r="X5" s="87">
        <v>5.1965041145917601</v>
      </c>
      <c r="Y5" s="159"/>
      <c r="Z5" s="159"/>
    </row>
    <row r="6" spans="1:26" x14ac:dyDescent="0.3">
      <c r="A6" s="86" t="s">
        <v>306</v>
      </c>
      <c r="B6" s="86" t="s">
        <v>127</v>
      </c>
      <c r="C6" s="86" t="s">
        <v>128</v>
      </c>
      <c r="D6" s="88">
        <v>2023</v>
      </c>
      <c r="E6" s="88">
        <v>2023</v>
      </c>
      <c r="F6" s="88">
        <v>2016</v>
      </c>
      <c r="G6" s="89">
        <v>2.246037383510902</v>
      </c>
      <c r="H6" s="90">
        <v>2.4588680998228312</v>
      </c>
      <c r="I6" s="86">
        <v>24185.477582459334</v>
      </c>
      <c r="J6" s="86">
        <v>25989.935509417894</v>
      </c>
      <c r="K6" s="86">
        <v>7</v>
      </c>
      <c r="L6" s="87">
        <v>1.0332589772121814</v>
      </c>
      <c r="U6" s="86" t="s">
        <v>127</v>
      </c>
      <c r="V6" s="86" t="s">
        <v>127</v>
      </c>
      <c r="W6" s="87"/>
      <c r="X6" s="87"/>
      <c r="Y6" s="159">
        <v>2.246037383510902</v>
      </c>
      <c r="Z6" s="159">
        <v>1.0332589772121814</v>
      </c>
    </row>
    <row r="7" spans="1:26" x14ac:dyDescent="0.3">
      <c r="A7" s="86" t="s">
        <v>339</v>
      </c>
      <c r="B7" s="86" t="s">
        <v>342</v>
      </c>
      <c r="C7" s="86" t="s">
        <v>340</v>
      </c>
      <c r="D7" s="88">
        <v>2023</v>
      </c>
      <c r="E7" s="88">
        <v>2023</v>
      </c>
      <c r="F7" s="88">
        <v>2016</v>
      </c>
      <c r="G7" s="89">
        <v>2.2264764136111341</v>
      </c>
      <c r="H7" s="90"/>
      <c r="I7" s="86">
        <v>17000.214779654307</v>
      </c>
      <c r="J7" s="86">
        <v>24236.146080150051</v>
      </c>
      <c r="K7" s="86">
        <v>7</v>
      </c>
      <c r="L7" s="87">
        <v>5.1965041145917601</v>
      </c>
      <c r="U7" s="86" t="s">
        <v>135</v>
      </c>
      <c r="V7" s="86" t="s">
        <v>135</v>
      </c>
      <c r="W7" s="87">
        <v>1.5315177215535991</v>
      </c>
      <c r="X7" s="87">
        <v>2.7766436452656196</v>
      </c>
      <c r="Y7" s="159"/>
      <c r="Z7" s="159"/>
    </row>
    <row r="8" spans="1:26" x14ac:dyDescent="0.3">
      <c r="A8" s="86" t="s">
        <v>312</v>
      </c>
      <c r="B8" s="86" t="s">
        <v>99</v>
      </c>
      <c r="C8" s="86" t="s">
        <v>128</v>
      </c>
      <c r="D8" s="88">
        <v>2024</v>
      </c>
      <c r="E8" s="88">
        <v>2023</v>
      </c>
      <c r="F8" s="88">
        <v>2016</v>
      </c>
      <c r="G8" s="89">
        <v>2.1804242550293562</v>
      </c>
      <c r="H8" s="90">
        <v>1.825008665171213</v>
      </c>
      <c r="I8" s="86">
        <v>51270.264478106976</v>
      </c>
      <c r="J8" s="86">
        <v>48527.511450902872</v>
      </c>
      <c r="K8" s="86">
        <v>7</v>
      </c>
      <c r="L8" s="87">
        <v>-0.78235300247738726</v>
      </c>
      <c r="U8" s="86" t="s">
        <v>94</v>
      </c>
      <c r="V8" s="86" t="s">
        <v>94</v>
      </c>
      <c r="W8" s="87"/>
      <c r="X8" s="87"/>
      <c r="Y8" s="159">
        <v>3.8722637663902941</v>
      </c>
      <c r="Z8" s="159">
        <v>0.28769626635725132</v>
      </c>
    </row>
    <row r="9" spans="1:26" x14ac:dyDescent="0.3">
      <c r="A9" s="86" t="s">
        <v>301</v>
      </c>
      <c r="B9" s="86" t="s">
        <v>93</v>
      </c>
      <c r="C9" s="86" t="s">
        <v>128</v>
      </c>
      <c r="D9" s="88">
        <v>2023</v>
      </c>
      <c r="E9" s="88">
        <v>2023</v>
      </c>
      <c r="F9" s="88">
        <v>2016</v>
      </c>
      <c r="G9" s="89">
        <v>1.936800313647802</v>
      </c>
      <c r="H9" s="90">
        <v>1.3678368706806281</v>
      </c>
      <c r="I9" s="31">
        <v>60071.647972235252</v>
      </c>
      <c r="J9" s="31">
        <v>63770.775158023418</v>
      </c>
      <c r="K9" s="86">
        <v>7</v>
      </c>
      <c r="L9" s="87">
        <v>0.85732607078383705</v>
      </c>
      <c r="U9" s="86" t="s">
        <v>93</v>
      </c>
      <c r="V9" s="86" t="s">
        <v>93</v>
      </c>
      <c r="W9" s="87"/>
      <c r="X9" s="87"/>
      <c r="Y9" s="159">
        <v>1.936800313647802</v>
      </c>
      <c r="Z9" s="159">
        <v>0.85732607078383705</v>
      </c>
    </row>
    <row r="10" spans="1:26" x14ac:dyDescent="0.3">
      <c r="A10" s="86" t="s">
        <v>339</v>
      </c>
      <c r="B10" s="86" t="s">
        <v>135</v>
      </c>
      <c r="C10" s="86" t="s">
        <v>340</v>
      </c>
      <c r="D10" s="88">
        <v>2021</v>
      </c>
      <c r="E10" s="88">
        <v>2021</v>
      </c>
      <c r="F10" s="88">
        <v>2016</v>
      </c>
      <c r="G10" s="89">
        <v>1.5315177215535991</v>
      </c>
      <c r="H10" s="90"/>
      <c r="I10" s="86">
        <v>20231.551732494238</v>
      </c>
      <c r="J10" s="86">
        <v>23200.713891466934</v>
      </c>
      <c r="K10" s="86">
        <v>5</v>
      </c>
      <c r="L10" s="87">
        <v>2.7766436452656196</v>
      </c>
      <c r="U10" s="86" t="s">
        <v>96</v>
      </c>
      <c r="V10" s="86" t="s">
        <v>96</v>
      </c>
      <c r="W10" s="87"/>
      <c r="X10" s="87"/>
      <c r="Y10" s="159">
        <v>1.065237117785633</v>
      </c>
      <c r="Z10" s="159">
        <v>1.9873718726743927</v>
      </c>
    </row>
    <row r="11" spans="1:26" x14ac:dyDescent="0.3">
      <c r="A11" s="86" t="s">
        <v>309</v>
      </c>
      <c r="B11" s="86" t="s">
        <v>97</v>
      </c>
      <c r="C11" s="86" t="s">
        <v>128</v>
      </c>
      <c r="D11" s="88">
        <v>2024</v>
      </c>
      <c r="E11" s="88">
        <v>2023</v>
      </c>
      <c r="F11" s="88">
        <v>2021</v>
      </c>
      <c r="G11" s="89">
        <v>1.1683236333980049</v>
      </c>
      <c r="H11" s="90">
        <v>2.1874063891961231</v>
      </c>
      <c r="I11" s="86">
        <v>29486.612807349731</v>
      </c>
      <c r="J11" s="86">
        <v>31012.662686696298</v>
      </c>
      <c r="K11" s="86">
        <v>2</v>
      </c>
      <c r="L11" s="87">
        <v>2.5550579205172674</v>
      </c>
      <c r="U11" s="86" t="s">
        <v>92</v>
      </c>
      <c r="V11" s="86" t="s">
        <v>92</v>
      </c>
      <c r="W11" s="87"/>
      <c r="X11" s="87"/>
      <c r="Y11" s="159">
        <v>0.71949124850057</v>
      </c>
      <c r="Z11" s="159">
        <v>0.44875742087946424</v>
      </c>
    </row>
    <row r="12" spans="1:26" x14ac:dyDescent="0.3">
      <c r="A12" s="86" t="s">
        <v>302</v>
      </c>
      <c r="B12" s="86" t="s">
        <v>96</v>
      </c>
      <c r="C12" s="86" t="s">
        <v>128</v>
      </c>
      <c r="D12" s="88">
        <v>2024</v>
      </c>
      <c r="E12" s="88">
        <v>2023</v>
      </c>
      <c r="F12" s="88">
        <v>2017</v>
      </c>
      <c r="G12" s="89">
        <v>1.065237117785633</v>
      </c>
      <c r="H12" s="90">
        <v>1.204305111478954</v>
      </c>
      <c r="I12" s="86">
        <v>46238.644264086994</v>
      </c>
      <c r="J12" s="86">
        <v>52033.554595339403</v>
      </c>
      <c r="K12" s="86">
        <v>6</v>
      </c>
      <c r="L12" s="87">
        <v>1.9873718726743927</v>
      </c>
      <c r="U12" s="86" t="s">
        <v>97</v>
      </c>
      <c r="V12" s="86" t="s">
        <v>97</v>
      </c>
      <c r="W12" s="87"/>
      <c r="X12" s="87"/>
      <c r="Y12" s="159">
        <v>1.1683236333980049</v>
      </c>
      <c r="Z12" s="159">
        <v>2.5550579205172674</v>
      </c>
    </row>
    <row r="13" spans="1:26" x14ac:dyDescent="0.3">
      <c r="A13" s="86" t="s">
        <v>298</v>
      </c>
      <c r="B13" s="86" t="s">
        <v>92</v>
      </c>
      <c r="C13" s="86" t="s">
        <v>128</v>
      </c>
      <c r="D13" s="88">
        <v>2024</v>
      </c>
      <c r="E13" s="88">
        <v>2023</v>
      </c>
      <c r="F13" s="88">
        <v>2016</v>
      </c>
      <c r="G13" s="89">
        <v>0.71949124850057</v>
      </c>
      <c r="H13" s="90">
        <v>1.258824282089344</v>
      </c>
      <c r="I13" s="31">
        <v>39749.321508892113</v>
      </c>
      <c r="J13" s="31">
        <v>41014.904190555535</v>
      </c>
      <c r="K13" s="86">
        <v>7</v>
      </c>
      <c r="L13" s="87">
        <v>0.44875742087946424</v>
      </c>
      <c r="U13" s="86" t="s">
        <v>133</v>
      </c>
      <c r="V13" s="86" t="s">
        <v>133</v>
      </c>
      <c r="W13" s="87">
        <v>0.67436422345121816</v>
      </c>
      <c r="X13" s="87">
        <v>2.1247387681285756</v>
      </c>
      <c r="Y13" s="159"/>
      <c r="Z13" s="159"/>
    </row>
    <row r="14" spans="1:26" x14ac:dyDescent="0.3">
      <c r="A14" s="86" t="s">
        <v>339</v>
      </c>
      <c r="B14" s="86" t="s">
        <v>133</v>
      </c>
      <c r="C14" s="86" t="s">
        <v>340</v>
      </c>
      <c r="D14" s="88">
        <v>2021</v>
      </c>
      <c r="E14" s="88">
        <v>2021</v>
      </c>
      <c r="F14" s="88">
        <v>2016</v>
      </c>
      <c r="G14" s="89">
        <v>0.67436422345121816</v>
      </c>
      <c r="H14" s="90"/>
      <c r="I14" s="86">
        <v>24358.598813057743</v>
      </c>
      <c r="J14" s="86">
        <v>27058.710475310698</v>
      </c>
      <c r="K14" s="86">
        <v>5</v>
      </c>
      <c r="L14" s="87">
        <v>2.1247387681285756</v>
      </c>
      <c r="U14" s="86" t="s">
        <v>128</v>
      </c>
      <c r="V14" s="86" t="s">
        <v>128</v>
      </c>
      <c r="W14" s="87"/>
      <c r="X14" s="87"/>
      <c r="Y14" s="159">
        <v>0.58380840373859488</v>
      </c>
      <c r="Z14" s="159">
        <v>3.0523588106956545E-2</v>
      </c>
    </row>
    <row r="15" spans="1:26" x14ac:dyDescent="0.3">
      <c r="A15" s="86" t="s">
        <v>128</v>
      </c>
      <c r="B15" s="86" t="s">
        <v>128</v>
      </c>
      <c r="C15" s="86" t="s">
        <v>128</v>
      </c>
      <c r="D15" s="88">
        <v>2024</v>
      </c>
      <c r="E15" s="88">
        <v>2023</v>
      </c>
      <c r="F15" s="88">
        <v>2016</v>
      </c>
      <c r="G15" s="89">
        <v>0.58380840373859488</v>
      </c>
      <c r="H15" s="90">
        <v>0.73174613706226133</v>
      </c>
      <c r="I15" s="86">
        <v>42506.409690023247</v>
      </c>
      <c r="J15" s="86">
        <v>42597.314268057256</v>
      </c>
      <c r="K15" s="86">
        <v>7</v>
      </c>
      <c r="L15" s="87">
        <v>3.0523588106956545E-2</v>
      </c>
      <c r="U15" s="86" t="s">
        <v>143</v>
      </c>
      <c r="V15" s="86" t="s">
        <v>143</v>
      </c>
      <c r="W15" s="87">
        <v>0.2497426370673628</v>
      </c>
      <c r="X15" s="87">
        <v>1.1111393647862844</v>
      </c>
      <c r="Y15" s="159"/>
      <c r="Z15" s="159"/>
    </row>
    <row r="16" spans="1:26" x14ac:dyDescent="0.3">
      <c r="A16" s="86" t="s">
        <v>305</v>
      </c>
      <c r="B16" s="86" t="s">
        <v>95</v>
      </c>
      <c r="C16" s="86" t="s">
        <v>128</v>
      </c>
      <c r="D16" s="88">
        <v>2024</v>
      </c>
      <c r="E16" s="88">
        <v>2023</v>
      </c>
      <c r="F16" s="88">
        <v>2017</v>
      </c>
      <c r="G16" s="89">
        <v>0.58177701208990129</v>
      </c>
      <c r="H16" s="90">
        <v>0.22109249141732959</v>
      </c>
      <c r="I16" s="86">
        <v>52379.98334464409</v>
      </c>
      <c r="J16" s="86">
        <v>61839.887306451106</v>
      </c>
      <c r="K16" s="86">
        <v>6</v>
      </c>
      <c r="L16" s="87">
        <v>2.8057065629300215</v>
      </c>
      <c r="U16" s="86" t="s">
        <v>140</v>
      </c>
      <c r="V16" s="86" t="s">
        <v>140</v>
      </c>
      <c r="W16" s="87">
        <v>1.2323101105149449E-2</v>
      </c>
      <c r="X16" s="87">
        <v>3.0228260852047661</v>
      </c>
      <c r="Y16" s="159"/>
      <c r="Z16" s="159"/>
    </row>
    <row r="17" spans="1:26" x14ac:dyDescent="0.3">
      <c r="A17" s="86" t="s">
        <v>300</v>
      </c>
      <c r="B17" s="86" t="s">
        <v>126</v>
      </c>
      <c r="C17" s="86" t="s">
        <v>128</v>
      </c>
      <c r="D17" s="88">
        <v>2024</v>
      </c>
      <c r="E17" s="88">
        <v>2023</v>
      </c>
      <c r="F17" s="88">
        <v>2022</v>
      </c>
      <c r="G17" s="89">
        <v>0.46183430842212658</v>
      </c>
      <c r="H17" s="90">
        <v>-0.4045058068934515</v>
      </c>
      <c r="I17" s="86">
        <v>32622.480185609995</v>
      </c>
      <c r="J17" s="86">
        <v>33249.398778280505</v>
      </c>
      <c r="K17" s="86">
        <v>1</v>
      </c>
      <c r="L17" s="87">
        <v>1.9217379828375236</v>
      </c>
      <c r="U17" s="86" t="s">
        <v>343</v>
      </c>
      <c r="V17" s="86" t="s">
        <v>343</v>
      </c>
      <c r="W17" s="87"/>
      <c r="X17" s="87"/>
      <c r="Y17" s="159">
        <v>0.46065503282146653</v>
      </c>
      <c r="Z17" s="159">
        <v>0.50178566529315294</v>
      </c>
    </row>
    <row r="18" spans="1:26" x14ac:dyDescent="0.3">
      <c r="A18" s="86" t="s">
        <v>296</v>
      </c>
      <c r="B18" s="86" t="s">
        <v>343</v>
      </c>
      <c r="C18" s="86" t="s">
        <v>128</v>
      </c>
      <c r="D18" s="88">
        <v>2024</v>
      </c>
      <c r="E18" s="88">
        <v>2023</v>
      </c>
      <c r="F18" s="88">
        <v>2016</v>
      </c>
      <c r="G18" s="89">
        <v>0.46065503282146653</v>
      </c>
      <c r="H18" s="90">
        <v>-1.1479608321595449</v>
      </c>
      <c r="I18" s="86">
        <v>28243.252916364614</v>
      </c>
      <c r="J18" s="86">
        <v>29250.356405800114</v>
      </c>
      <c r="K18" s="86">
        <v>7</v>
      </c>
      <c r="L18" s="87">
        <v>0.50178566529315294</v>
      </c>
      <c r="U18" s="86" t="s">
        <v>91</v>
      </c>
      <c r="V18" s="86" t="s">
        <v>91</v>
      </c>
      <c r="W18" s="87"/>
      <c r="X18" s="87"/>
      <c r="Y18" s="159">
        <v>-0.2710431014321002</v>
      </c>
      <c r="Z18" s="159">
        <v>-1.9813660566641689</v>
      </c>
    </row>
    <row r="19" spans="1:26" x14ac:dyDescent="0.3">
      <c r="A19" s="86" t="s">
        <v>339</v>
      </c>
      <c r="B19" s="86" t="s">
        <v>143</v>
      </c>
      <c r="C19" s="86" t="s">
        <v>340</v>
      </c>
      <c r="D19" s="88">
        <v>2023</v>
      </c>
      <c r="E19" s="88">
        <v>2023</v>
      </c>
      <c r="F19" s="88">
        <v>2016</v>
      </c>
      <c r="G19" s="89">
        <v>0.2497426370673628</v>
      </c>
      <c r="H19" s="90"/>
      <c r="I19" s="86">
        <v>34705.023017045074</v>
      </c>
      <c r="J19" s="86">
        <v>37496.036773105057</v>
      </c>
      <c r="K19" s="86">
        <v>7</v>
      </c>
      <c r="L19" s="87">
        <v>1.1111393647862844</v>
      </c>
      <c r="U19" s="86" t="s">
        <v>147</v>
      </c>
      <c r="V19" s="86" t="s">
        <v>147</v>
      </c>
      <c r="W19" s="87">
        <v>-0.33913410572536939</v>
      </c>
      <c r="X19" s="87">
        <v>5.991471396069703</v>
      </c>
      <c r="Y19" s="159"/>
      <c r="Z19" s="159"/>
    </row>
    <row r="20" spans="1:26" x14ac:dyDescent="0.3">
      <c r="A20" s="86" t="s">
        <v>339</v>
      </c>
      <c r="B20" s="86" t="s">
        <v>140</v>
      </c>
      <c r="C20" s="86" t="s">
        <v>340</v>
      </c>
      <c r="D20" s="88">
        <v>2022</v>
      </c>
      <c r="E20" s="88">
        <v>2022</v>
      </c>
      <c r="F20" s="88">
        <v>2016</v>
      </c>
      <c r="G20" s="89">
        <v>1.2323101105149449E-2</v>
      </c>
      <c r="H20" s="90"/>
      <c r="I20" s="86">
        <v>74035.183071216568</v>
      </c>
      <c r="J20" s="86">
        <v>88519.491271855804</v>
      </c>
      <c r="K20" s="86">
        <v>6</v>
      </c>
      <c r="L20" s="87">
        <v>3.0228260852047661</v>
      </c>
      <c r="U20" s="86" t="s">
        <v>101</v>
      </c>
      <c r="V20" s="86" t="s">
        <v>101</v>
      </c>
      <c r="W20" s="87"/>
      <c r="X20" s="87"/>
      <c r="Y20" s="159">
        <v>3.1067407636980349</v>
      </c>
      <c r="Z20" s="159">
        <v>-0.66663137489746394</v>
      </c>
    </row>
    <row r="21" spans="1:26" x14ac:dyDescent="0.3">
      <c r="A21" s="86" t="s">
        <v>297</v>
      </c>
      <c r="B21" s="86" t="s">
        <v>91</v>
      </c>
      <c r="C21" s="86" t="s">
        <v>128</v>
      </c>
      <c r="D21" s="88">
        <v>2024</v>
      </c>
      <c r="E21" s="88">
        <v>2023</v>
      </c>
      <c r="F21" s="88">
        <v>2016</v>
      </c>
      <c r="G21" s="89">
        <v>-0.2710431014321002</v>
      </c>
      <c r="H21" s="90">
        <v>-1.1613499925764439</v>
      </c>
      <c r="I21" s="31">
        <v>21332.115427495341</v>
      </c>
      <c r="J21" s="86">
        <v>18543.616798411833</v>
      </c>
      <c r="K21" s="86">
        <v>7</v>
      </c>
      <c r="L21" s="87">
        <v>-1.9813660566641689</v>
      </c>
      <c r="U21" s="86" t="s">
        <v>95</v>
      </c>
      <c r="V21" s="86" t="s">
        <v>95</v>
      </c>
      <c r="W21" s="87"/>
      <c r="X21" s="87"/>
      <c r="Y21" s="159">
        <v>0.58177701208990129</v>
      </c>
      <c r="Z21" s="159">
        <v>2.8057065629300215</v>
      </c>
    </row>
    <row r="22" spans="1:26" x14ac:dyDescent="0.3">
      <c r="A22" s="86" t="s">
        <v>339</v>
      </c>
      <c r="B22" s="86" t="s">
        <v>147</v>
      </c>
      <c r="C22" s="86" t="s">
        <v>340</v>
      </c>
      <c r="D22" s="88">
        <v>2022</v>
      </c>
      <c r="E22" s="88">
        <v>2022</v>
      </c>
      <c r="F22" s="88">
        <v>2017</v>
      </c>
      <c r="G22" s="89">
        <v>-0.33913410572536939</v>
      </c>
      <c r="H22" s="90"/>
      <c r="I22" s="86">
        <v>35718.394726048005</v>
      </c>
      <c r="J22" s="86">
        <v>47780.043213085512</v>
      </c>
      <c r="K22" s="86">
        <v>5</v>
      </c>
      <c r="L22" s="87">
        <v>5.991471396069703</v>
      </c>
      <c r="U22" s="86" t="s">
        <v>126</v>
      </c>
      <c r="V22" s="86" t="s">
        <v>126</v>
      </c>
      <c r="W22" s="87"/>
      <c r="X22" s="87"/>
      <c r="Y22" s="159">
        <v>0.46183430842212658</v>
      </c>
      <c r="Z22" s="159">
        <v>1.9217379828375236</v>
      </c>
    </row>
    <row r="23" spans="1:26" x14ac:dyDescent="0.3">
      <c r="A23" s="86" t="s">
        <v>339</v>
      </c>
      <c r="B23" s="86" t="s">
        <v>129</v>
      </c>
      <c r="C23" s="86" t="s">
        <v>340</v>
      </c>
      <c r="D23" s="88">
        <v>2023</v>
      </c>
      <c r="E23" s="88">
        <v>2023</v>
      </c>
      <c r="F23" s="88">
        <v>2018</v>
      </c>
      <c r="G23" s="89">
        <v>-0.75829795762992758</v>
      </c>
      <c r="H23" s="90"/>
      <c r="I23" s="86">
        <v>21900.206437517925</v>
      </c>
      <c r="J23" s="86">
        <v>23339.604745431614</v>
      </c>
      <c r="K23" s="86">
        <v>5</v>
      </c>
      <c r="L23" s="87">
        <v>1.28125115773845</v>
      </c>
      <c r="U23" s="86" t="s">
        <v>129</v>
      </c>
      <c r="V23" s="86" t="s">
        <v>129</v>
      </c>
      <c r="W23" s="87">
        <v>-0.75829795762992758</v>
      </c>
      <c r="X23" s="87">
        <v>1.28125115773845</v>
      </c>
      <c r="Y23" s="159"/>
      <c r="Z23" s="159"/>
    </row>
    <row r="24" spans="1:26" x14ac:dyDescent="0.3">
      <c r="A24" s="86" t="s">
        <v>339</v>
      </c>
      <c r="B24" s="86" t="s">
        <v>141</v>
      </c>
      <c r="C24" s="86" t="s">
        <v>340</v>
      </c>
      <c r="D24" s="88">
        <v>2022</v>
      </c>
      <c r="E24" s="88">
        <v>2022</v>
      </c>
      <c r="F24" s="88">
        <v>2016</v>
      </c>
      <c r="G24" s="89">
        <v>-2.735395185578215</v>
      </c>
      <c r="H24" s="90"/>
      <c r="I24" s="86">
        <v>35636.016108123353</v>
      </c>
      <c r="J24" s="86">
        <v>36099.19888073593</v>
      </c>
      <c r="K24" s="86">
        <v>6</v>
      </c>
      <c r="L24" s="87">
        <v>0.21546276390576047</v>
      </c>
      <c r="U24" s="86" t="s">
        <v>141</v>
      </c>
      <c r="V24" s="86" t="s">
        <v>141</v>
      </c>
      <c r="W24" s="87">
        <v>-2.735395185578215</v>
      </c>
      <c r="X24" s="87">
        <v>0.21546276390576047</v>
      </c>
      <c r="Y24" s="159"/>
      <c r="Z24" s="159"/>
    </row>
    <row r="25" spans="1:26" x14ac:dyDescent="0.3">
      <c r="A25" s="86" t="s">
        <v>293</v>
      </c>
      <c r="B25" s="86" t="s">
        <v>90</v>
      </c>
      <c r="C25" s="86" t="s">
        <v>128</v>
      </c>
      <c r="D25" s="88">
        <v>2024</v>
      </c>
      <c r="E25" s="88">
        <v>2023</v>
      </c>
      <c r="F25" s="88">
        <v>2016</v>
      </c>
      <c r="G25" s="89">
        <v>-3.9927278885983801</v>
      </c>
      <c r="H25" s="90">
        <v>-4.5071014527803586</v>
      </c>
      <c r="I25" s="86">
        <v>68102.890730632585</v>
      </c>
      <c r="J25" s="86">
        <v>59585.925824539452</v>
      </c>
      <c r="K25" s="86">
        <v>7</v>
      </c>
      <c r="L25" s="87">
        <v>-1.8904771439896217</v>
      </c>
      <c r="U25" s="86" t="s">
        <v>90</v>
      </c>
      <c r="V25" s="86" t="s">
        <v>90</v>
      </c>
      <c r="W25" s="87"/>
      <c r="X25" s="87"/>
      <c r="Y25" s="159">
        <v>-3.9927278885983801</v>
      </c>
      <c r="Z25" s="159">
        <v>-1.8904771439896217</v>
      </c>
    </row>
    <row r="27" spans="1:26" x14ac:dyDescent="0.3">
      <c r="A27" s="24" t="s">
        <v>0</v>
      </c>
    </row>
    <row r="28" spans="1:26" x14ac:dyDescent="0.3">
      <c r="A28" s="22" t="s">
        <v>25</v>
      </c>
    </row>
    <row r="29" spans="1:26" x14ac:dyDescent="0.3">
      <c r="A29" s="91" t="s">
        <v>344</v>
      </c>
      <c r="H29" s="91" t="s">
        <v>345</v>
      </c>
    </row>
  </sheetData>
  <autoFilter ref="A1:L25" xr:uid="{03F8002E-EE0D-4B7C-B98A-CC5CD20DD230}">
    <sortState xmlns:xlrd2="http://schemas.microsoft.com/office/spreadsheetml/2017/richdata2" ref="A2:L25">
      <sortCondition descending="1" ref="G1:G25"/>
    </sortState>
  </autoFilter>
  <conditionalFormatting sqref="H2:H25">
    <cfRule type="cellIs" dxfId="2" priority="3" operator="equal">
      <formula>0</formula>
    </cfRule>
  </conditionalFormatting>
  <conditionalFormatting sqref="U26:V1048576">
    <cfRule type="duplicateValues" dxfId="1" priority="1"/>
  </conditionalFormatting>
  <hyperlinks>
    <hyperlink ref="A27" location="Index!A1" display="'Index" xr:uid="{30ED5078-495A-40BA-A3AC-5038B4C7EF35}"/>
  </hyperlinks>
  <pageMargins left="0.7" right="0.7" top="0.75" bottom="0.75" header="0.3" footer="0.3"/>
  <headerFooter>
    <oddFooter>&amp;R_x000D_&amp;1#&amp;"Calibri"&amp;10&amp;K000000 Official Use Only</oddFooter>
  </headerFooter>
  <drawing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512DB-F92E-42A9-87FD-07C39EBF32D7}">
  <dimension ref="A2:I25"/>
  <sheetViews>
    <sheetView showGridLines="0" zoomScale="130" zoomScaleNormal="130" workbookViewId="0">
      <selection activeCell="A2" sqref="A2:XFD2"/>
    </sheetView>
  </sheetViews>
  <sheetFormatPr defaultRowHeight="14.4" x14ac:dyDescent="0.3"/>
  <cols>
    <col min="1" max="1" width="18.109375" customWidth="1"/>
    <col min="2" max="2" width="22.109375" bestFit="1" customWidth="1"/>
    <col min="3" max="3" width="19.5546875" bestFit="1" customWidth="1"/>
    <col min="4" max="4" width="23.5546875" bestFit="1" customWidth="1"/>
    <col min="5" max="5" width="18.109375" bestFit="1" customWidth="1"/>
    <col min="6" max="6" width="17" bestFit="1" customWidth="1"/>
    <col min="7" max="7" width="14.44140625" bestFit="1" customWidth="1"/>
    <col min="8" max="8" width="18.44140625" bestFit="1" customWidth="1"/>
    <col min="9" max="9" width="12.88671875" bestFit="1" customWidth="1"/>
  </cols>
  <sheetData>
    <row r="2" spans="1:9" x14ac:dyDescent="0.3">
      <c r="A2" s="24" t="s">
        <v>0</v>
      </c>
    </row>
    <row r="3" spans="1:9" x14ac:dyDescent="0.3">
      <c r="A3" s="22" t="s">
        <v>346</v>
      </c>
    </row>
    <row r="4" spans="1:9" x14ac:dyDescent="0.3">
      <c r="A4" s="31" t="s">
        <v>166</v>
      </c>
      <c r="B4" s="31" t="s">
        <v>347</v>
      </c>
      <c r="C4" s="31" t="s">
        <v>348</v>
      </c>
      <c r="D4" s="31" t="s">
        <v>349</v>
      </c>
      <c r="E4" s="31" t="s">
        <v>350</v>
      </c>
      <c r="F4" s="31" t="s">
        <v>351</v>
      </c>
      <c r="G4" s="31" t="s">
        <v>352</v>
      </c>
      <c r="H4" s="31" t="s">
        <v>353</v>
      </c>
      <c r="I4" s="31" t="s">
        <v>354</v>
      </c>
    </row>
    <row r="5" spans="1:9" x14ac:dyDescent="0.3">
      <c r="A5" s="31">
        <v>10</v>
      </c>
      <c r="B5" s="92">
        <v>31.808789253234863</v>
      </c>
      <c r="C5" s="92">
        <v>-6.3382333517074594</v>
      </c>
      <c r="D5" s="92">
        <v>3.8491322517395012</v>
      </c>
      <c r="E5" s="92">
        <v>5.6936691105365771</v>
      </c>
      <c r="F5" s="92">
        <v>-24.318621826171864</v>
      </c>
      <c r="G5" s="92">
        <v>-53.934452819824216</v>
      </c>
      <c r="H5" s="92">
        <v>-38.439027404785158</v>
      </c>
      <c r="I5" s="92">
        <v>181.67876012325286</v>
      </c>
    </row>
    <row r="6" spans="1:9" x14ac:dyDescent="0.3">
      <c r="A6" s="31">
        <v>20</v>
      </c>
      <c r="B6" s="92">
        <v>37.415021324157713</v>
      </c>
      <c r="C6" s="92">
        <v>-6.5851523876190186</v>
      </c>
      <c r="D6" s="92">
        <v>48.81355428695678</v>
      </c>
      <c r="E6" s="92">
        <v>9.5893060207366947</v>
      </c>
      <c r="F6" s="92">
        <v>-221.35789623260507</v>
      </c>
      <c r="G6" s="92">
        <v>108.61323573589326</v>
      </c>
      <c r="H6" s="92">
        <v>77.435610198974615</v>
      </c>
      <c r="I6" s="92">
        <v>46.075894927978531</v>
      </c>
    </row>
    <row r="7" spans="1:9" x14ac:dyDescent="0.3">
      <c r="A7" s="31">
        <v>30</v>
      </c>
      <c r="B7" s="92">
        <v>28.568910980224608</v>
      </c>
      <c r="C7" s="92">
        <v>-4.5007420063018797</v>
      </c>
      <c r="D7" s="92">
        <v>13.486260223388673</v>
      </c>
      <c r="E7" s="92">
        <v>3.5912526026368141</v>
      </c>
      <c r="F7" s="92">
        <v>-50.406426239013676</v>
      </c>
      <c r="G7" s="92">
        <v>6.0166333198547353</v>
      </c>
      <c r="H7" s="92">
        <v>4.7835084915161072</v>
      </c>
      <c r="I7" s="92">
        <v>98.460542672872549</v>
      </c>
    </row>
    <row r="8" spans="1:9" x14ac:dyDescent="0.3">
      <c r="A8" s="31">
        <v>40</v>
      </c>
      <c r="B8" s="92">
        <v>39.971840095520022</v>
      </c>
      <c r="C8" s="92">
        <v>-3.9664672374725343</v>
      </c>
      <c r="D8" s="92">
        <v>11.698488378524781</v>
      </c>
      <c r="E8" s="92">
        <v>4.2435656249523159</v>
      </c>
      <c r="F8" s="92">
        <v>24.64304342269898</v>
      </c>
      <c r="G8" s="92">
        <v>15.708204841613769</v>
      </c>
      <c r="H8" s="92">
        <v>-71.921074390411377</v>
      </c>
      <c r="I8" s="92">
        <v>79.622532653808591</v>
      </c>
    </row>
    <row r="9" spans="1:9" x14ac:dyDescent="0.3">
      <c r="A9" s="31">
        <v>50</v>
      </c>
      <c r="B9" s="92">
        <v>37.588079643249515</v>
      </c>
      <c r="C9" s="92">
        <v>-3.6714545011520388</v>
      </c>
      <c r="D9" s="92">
        <v>7.9441229820251493</v>
      </c>
      <c r="E9" s="92">
        <v>4.6059081077575685</v>
      </c>
      <c r="F9" s="92">
        <v>-46.211917877197266</v>
      </c>
      <c r="G9" s="92">
        <v>-16.936757421493532</v>
      </c>
      <c r="H9" s="92">
        <v>-9.9214035034179684</v>
      </c>
      <c r="I9" s="92">
        <v>126.60341110229493</v>
      </c>
    </row>
    <row r="10" spans="1:9" x14ac:dyDescent="0.3">
      <c r="A10" s="31">
        <v>60</v>
      </c>
      <c r="B10" s="92">
        <v>54.818934631347659</v>
      </c>
      <c r="C10" s="92">
        <v>-4.1432245492935182</v>
      </c>
      <c r="D10" s="92">
        <v>8.8409302234649658</v>
      </c>
      <c r="E10" s="92">
        <v>5.6921954631805409</v>
      </c>
      <c r="F10" s="92">
        <v>-49.35508956909181</v>
      </c>
      <c r="G10" s="92">
        <v>-7.4803714752197248</v>
      </c>
      <c r="H10" s="92">
        <v>-16.462252998352046</v>
      </c>
      <c r="I10" s="92">
        <v>108.08884429931641</v>
      </c>
    </row>
    <row r="11" spans="1:9" x14ac:dyDescent="0.3">
      <c r="A11" s="31">
        <v>70</v>
      </c>
      <c r="B11" s="92">
        <v>65.858351135253912</v>
      </c>
      <c r="C11" s="92">
        <v>-4.531720066070557</v>
      </c>
      <c r="D11" s="92">
        <v>9.0620219707488996</v>
      </c>
      <c r="E11" s="92">
        <v>6.6025836944580076</v>
      </c>
      <c r="F11" s="92">
        <v>-159.66927604675294</v>
      </c>
      <c r="G11" s="92">
        <v>-27.796786832809449</v>
      </c>
      <c r="H11" s="92">
        <v>120.61137313842774</v>
      </c>
      <c r="I11" s="92">
        <v>89.863535308837896</v>
      </c>
    </row>
    <row r="12" spans="1:9" x14ac:dyDescent="0.3">
      <c r="A12" s="31">
        <v>80</v>
      </c>
      <c r="B12" s="92">
        <v>81.949834060668934</v>
      </c>
      <c r="C12" s="92">
        <v>-5.3361829519271851</v>
      </c>
      <c r="D12" s="92">
        <v>8.9865612506866448</v>
      </c>
      <c r="E12" s="92">
        <v>6.9887751102447506</v>
      </c>
      <c r="F12" s="92">
        <v>-129.01284866333009</v>
      </c>
      <c r="G12" s="92">
        <v>-6.3485369682312012</v>
      </c>
      <c r="H12" s="92">
        <v>201.52071075439454</v>
      </c>
      <c r="I12" s="92">
        <v>-58.748373985290527</v>
      </c>
    </row>
    <row r="13" spans="1:9" x14ac:dyDescent="0.3">
      <c r="A13" s="31">
        <v>90</v>
      </c>
      <c r="B13" s="92">
        <v>120.62673797607424</v>
      </c>
      <c r="C13" s="92">
        <v>-6.7512432932853699</v>
      </c>
      <c r="D13" s="92">
        <v>13.253714323043823</v>
      </c>
      <c r="E13" s="92">
        <v>8.7422859191894524</v>
      </c>
      <c r="F13" s="92">
        <v>-128.32524948120118</v>
      </c>
      <c r="G13" s="92">
        <v>58.53846893310547</v>
      </c>
      <c r="H13" s="92">
        <v>545.11998825073238</v>
      </c>
      <c r="I13" s="92">
        <v>-511.20481338500974</v>
      </c>
    </row>
    <row r="14" spans="1:9" x14ac:dyDescent="0.3">
      <c r="A14" s="31"/>
      <c r="B14" s="92"/>
      <c r="C14" s="92"/>
      <c r="D14" s="92"/>
      <c r="E14" s="92"/>
      <c r="F14" s="92"/>
      <c r="G14" s="92"/>
      <c r="H14" s="92"/>
      <c r="I14" s="92"/>
    </row>
    <row r="15" spans="1:9" x14ac:dyDescent="0.3">
      <c r="A15" s="31"/>
      <c r="B15" s="193" t="s">
        <v>355</v>
      </c>
      <c r="C15" s="193"/>
      <c r="D15" s="193" t="s">
        <v>356</v>
      </c>
      <c r="E15" s="193"/>
      <c r="F15" s="44" t="s">
        <v>357</v>
      </c>
      <c r="G15" s="92"/>
      <c r="H15" s="92"/>
      <c r="I15" s="92"/>
    </row>
    <row r="16" spans="1:9" x14ac:dyDescent="0.3">
      <c r="A16" s="31"/>
      <c r="B16" s="92" t="s">
        <v>358</v>
      </c>
      <c r="C16" s="92" t="s">
        <v>359</v>
      </c>
      <c r="D16" s="92" t="s">
        <v>360</v>
      </c>
      <c r="E16" s="92" t="s">
        <v>361</v>
      </c>
      <c r="F16" s="44" t="s">
        <v>357</v>
      </c>
      <c r="G16" s="92"/>
      <c r="H16" s="92"/>
      <c r="I16" s="92"/>
    </row>
    <row r="17" spans="1:9" x14ac:dyDescent="0.3">
      <c r="A17" s="31">
        <v>10</v>
      </c>
      <c r="B17" s="92">
        <v>31.808789253234863</v>
      </c>
      <c r="C17" s="92">
        <v>-6.3382333517074594</v>
      </c>
      <c r="D17" s="92">
        <v>-24.318621826171864</v>
      </c>
      <c r="E17" s="92">
        <v>-53.934452819824216</v>
      </c>
      <c r="F17" s="92">
        <v>152.78253408074377</v>
      </c>
      <c r="G17" s="92"/>
      <c r="H17" s="92">
        <v>7.4901674270629996</v>
      </c>
      <c r="I17" s="92">
        <v>-60.272686171531674</v>
      </c>
    </row>
    <row r="18" spans="1:9" x14ac:dyDescent="0.3">
      <c r="A18" s="31">
        <v>20</v>
      </c>
      <c r="B18" s="92">
        <v>37.415021324157713</v>
      </c>
      <c r="C18" s="92">
        <v>-6.5851523876190186</v>
      </c>
      <c r="D18" s="92">
        <v>-221.35789623260507</v>
      </c>
      <c r="E18" s="92">
        <v>108.61323573589326</v>
      </c>
      <c r="F18" s="92">
        <v>181.91436543464664</v>
      </c>
      <c r="G18" s="92"/>
      <c r="H18" s="92">
        <v>-183.94287490844735</v>
      </c>
      <c r="I18" s="92">
        <v>102.02808334827424</v>
      </c>
    </row>
    <row r="19" spans="1:9" x14ac:dyDescent="0.3">
      <c r="A19" s="31">
        <v>30</v>
      </c>
      <c r="B19" s="92">
        <v>28.568910980224608</v>
      </c>
      <c r="C19" s="92">
        <v>-4.5007420063018797</v>
      </c>
      <c r="D19" s="92">
        <v>-50.406426239013676</v>
      </c>
      <c r="E19" s="92">
        <v>6.0166333198547353</v>
      </c>
      <c r="F19" s="92">
        <v>120.32156399041413</v>
      </c>
      <c r="G19" s="92"/>
      <c r="H19" s="92">
        <v>-21.837515258789068</v>
      </c>
      <c r="I19" s="92">
        <v>1.5158913135528556</v>
      </c>
    </row>
    <row r="20" spans="1:9" x14ac:dyDescent="0.3">
      <c r="A20" s="31">
        <v>40</v>
      </c>
      <c r="B20" s="92">
        <v>39.971840095520022</v>
      </c>
      <c r="C20" s="92">
        <v>-3.9664672374725343</v>
      </c>
      <c r="D20" s="92">
        <v>24.64304342269898</v>
      </c>
      <c r="E20" s="92">
        <v>15.708204841613769</v>
      </c>
      <c r="F20" s="92">
        <v>23.643512266874311</v>
      </c>
      <c r="G20" s="92"/>
      <c r="H20" s="92">
        <v>64.614883518219003</v>
      </c>
      <c r="I20" s="92">
        <v>11.741737604141235</v>
      </c>
    </row>
    <row r="21" spans="1:9" x14ac:dyDescent="0.3">
      <c r="A21" s="31">
        <v>50</v>
      </c>
      <c r="B21" s="92">
        <v>37.588079643249515</v>
      </c>
      <c r="C21" s="92">
        <v>-3.6714545011520388</v>
      </c>
      <c r="D21" s="92">
        <v>-46.211917877197266</v>
      </c>
      <c r="E21" s="92">
        <v>-16.936757421493532</v>
      </c>
      <c r="F21" s="92">
        <v>129.23203868865969</v>
      </c>
      <c r="G21" s="92"/>
      <c r="H21" s="92">
        <v>-8.6238382339477511</v>
      </c>
      <c r="I21" s="92">
        <v>-20.60821192264557</v>
      </c>
    </row>
    <row r="22" spans="1:9" x14ac:dyDescent="0.3">
      <c r="A22" s="31">
        <v>60</v>
      </c>
      <c r="B22" s="92">
        <v>54.818934631347659</v>
      </c>
      <c r="C22" s="92">
        <v>-4.1432245492935182</v>
      </c>
      <c r="D22" s="92">
        <v>-49.35508956909181</v>
      </c>
      <c r="E22" s="92">
        <v>-7.4803714752197248</v>
      </c>
      <c r="F22" s="92">
        <v>106.15971698760987</v>
      </c>
      <c r="G22" s="92"/>
      <c r="H22" s="92">
        <v>5.4638450622558494</v>
      </c>
      <c r="I22" s="92">
        <v>-11.623596024513244</v>
      </c>
    </row>
    <row r="23" spans="1:9" x14ac:dyDescent="0.3">
      <c r="A23" s="31">
        <v>70</v>
      </c>
      <c r="B23" s="92">
        <v>65.858351135253912</v>
      </c>
      <c r="C23" s="92">
        <v>-4.531720066070557</v>
      </c>
      <c r="D23" s="92">
        <v>-159.66927604675294</v>
      </c>
      <c r="E23" s="92">
        <v>-27.796786832809449</v>
      </c>
      <c r="F23" s="92">
        <v>226.13951411247257</v>
      </c>
      <c r="G23" s="92"/>
      <c r="H23" s="92">
        <v>-93.810924911499029</v>
      </c>
      <c r="I23" s="92">
        <v>-32.328506898880008</v>
      </c>
    </row>
    <row r="24" spans="1:9" x14ac:dyDescent="0.3">
      <c r="A24" s="31">
        <v>80</v>
      </c>
      <c r="B24" s="92">
        <v>81.949834060668934</v>
      </c>
      <c r="C24" s="92">
        <v>-5.3361829519271851</v>
      </c>
      <c r="D24" s="92">
        <v>-129.01284866333009</v>
      </c>
      <c r="E24" s="92">
        <v>-6.3485369682312012</v>
      </c>
      <c r="F24" s="92">
        <v>158.74767313003539</v>
      </c>
      <c r="G24" s="92"/>
      <c r="H24" s="92">
        <v>-47.063014602661156</v>
      </c>
      <c r="I24" s="92">
        <v>-11.684719920158386</v>
      </c>
    </row>
    <row r="25" spans="1:9" x14ac:dyDescent="0.3">
      <c r="A25" s="31">
        <v>90</v>
      </c>
      <c r="B25" s="92">
        <v>120.62673797607424</v>
      </c>
      <c r="C25" s="92">
        <v>-6.7512432932853699</v>
      </c>
      <c r="D25" s="92">
        <v>-128.32524948120118</v>
      </c>
      <c r="E25" s="92">
        <v>58.53846893310547</v>
      </c>
      <c r="F25" s="92">
        <v>55.911175107955913</v>
      </c>
      <c r="G25" s="92"/>
      <c r="H25" s="92">
        <v>-7.6985115051269446</v>
      </c>
      <c r="I25" s="92">
        <v>51.7872256398201</v>
      </c>
    </row>
  </sheetData>
  <mergeCells count="2">
    <mergeCell ref="B15:C15"/>
    <mergeCell ref="D15:E15"/>
  </mergeCells>
  <hyperlinks>
    <hyperlink ref="A2" location="Index!A1" display="'Index" xr:uid="{F7E68EF2-DFEF-41DC-8C03-A44E88DF3DCB}"/>
  </hyperlinks>
  <pageMargins left="0.7" right="0.7" top="0.75" bottom="0.75" header="0.3" footer="0.3"/>
  <headerFooter>
    <oddFooter>&amp;R_x000D_&amp;1#&amp;"Calibri"&amp;10&amp;K000000 Official Use Only</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5927C-C0D1-45DD-8B43-634985A71F9F}">
  <dimension ref="A1:W28"/>
  <sheetViews>
    <sheetView showGridLines="0" zoomScale="70" zoomScaleNormal="70" workbookViewId="0">
      <selection activeCell="H21" sqref="H21"/>
    </sheetView>
  </sheetViews>
  <sheetFormatPr defaultRowHeight="14.4" x14ac:dyDescent="0.3"/>
  <cols>
    <col min="1" max="1" width="9.5546875" bestFit="1" customWidth="1"/>
    <col min="2" max="3" width="14.109375" bestFit="1" customWidth="1"/>
    <col min="4" max="4" width="13.88671875" bestFit="1" customWidth="1"/>
    <col min="5" max="5" width="16.5546875" bestFit="1" customWidth="1"/>
    <col min="6" max="6" width="15.88671875" bestFit="1" customWidth="1"/>
    <col min="22" max="22" width="7" customWidth="1"/>
  </cols>
  <sheetData>
    <row r="1" spans="1:23" x14ac:dyDescent="0.3">
      <c r="A1" t="s">
        <v>362</v>
      </c>
      <c r="B1" t="s">
        <v>363</v>
      </c>
      <c r="C1" s="93" t="s">
        <v>364</v>
      </c>
      <c r="D1" s="94" t="s">
        <v>365</v>
      </c>
      <c r="E1" s="48" t="s">
        <v>366</v>
      </c>
      <c r="F1" s="95" t="s">
        <v>367</v>
      </c>
      <c r="I1" s="24" t="s">
        <v>0</v>
      </c>
    </row>
    <row r="2" spans="1:23" ht="18" x14ac:dyDescent="0.3">
      <c r="A2" s="54" t="s">
        <v>91</v>
      </c>
      <c r="B2" s="54" t="s">
        <v>368</v>
      </c>
      <c r="C2" s="55">
        <v>1498.144</v>
      </c>
      <c r="D2" s="55">
        <v>0.238777054808332</v>
      </c>
      <c r="E2" s="55">
        <v>-6.6444463999999996</v>
      </c>
      <c r="F2" s="55">
        <v>-0.75239639999999997</v>
      </c>
      <c r="I2" s="100" t="s">
        <v>369</v>
      </c>
    </row>
    <row r="3" spans="1:23" x14ac:dyDescent="0.3">
      <c r="A3" s="54" t="s">
        <v>91</v>
      </c>
      <c r="B3" s="54" t="s">
        <v>370</v>
      </c>
      <c r="C3" s="55">
        <v>650.149</v>
      </c>
      <c r="D3" s="55">
        <v>0.133211969453747</v>
      </c>
      <c r="E3" s="55">
        <v>1.4524295</v>
      </c>
      <c r="F3" s="55">
        <v>0.66323416999999996</v>
      </c>
      <c r="V3" s="96" t="s">
        <v>371</v>
      </c>
      <c r="W3" t="s">
        <v>91</v>
      </c>
    </row>
    <row r="4" spans="1:23" x14ac:dyDescent="0.3">
      <c r="A4" s="54" t="s">
        <v>91</v>
      </c>
      <c r="B4" s="54" t="s">
        <v>184</v>
      </c>
      <c r="C4" s="55">
        <v>525.16300000000001</v>
      </c>
      <c r="D4" s="55">
        <v>7.1935181797066594E-2</v>
      </c>
      <c r="E4" s="55">
        <v>-1.1724026000000001</v>
      </c>
      <c r="F4" s="55">
        <v>-0.95714544999999995</v>
      </c>
      <c r="V4" s="97" t="s">
        <v>372</v>
      </c>
      <c r="W4" t="s">
        <v>93</v>
      </c>
    </row>
    <row r="5" spans="1:23" x14ac:dyDescent="0.3">
      <c r="A5" s="54" t="s">
        <v>91</v>
      </c>
      <c r="B5" s="54" t="s">
        <v>373</v>
      </c>
      <c r="C5" s="55">
        <v>503.875</v>
      </c>
      <c r="D5" s="55">
        <v>0.101086946602346</v>
      </c>
      <c r="E5" s="55">
        <v>-0.78264487000000005</v>
      </c>
      <c r="F5" s="55">
        <v>0.70708293</v>
      </c>
      <c r="V5" s="98">
        <v>156082</v>
      </c>
      <c r="W5" t="s">
        <v>90</v>
      </c>
    </row>
    <row r="6" spans="1:23" x14ac:dyDescent="0.3">
      <c r="A6" s="54" t="s">
        <v>91</v>
      </c>
      <c r="B6" s="54" t="s">
        <v>374</v>
      </c>
      <c r="C6" s="55">
        <v>491.18299999999999</v>
      </c>
      <c r="D6" s="55">
        <v>0.121779056311447</v>
      </c>
      <c r="E6" s="55">
        <v>2.5052078</v>
      </c>
      <c r="F6" s="55">
        <v>0.33316505000000002</v>
      </c>
    </row>
    <row r="7" spans="1:23" x14ac:dyDescent="0.3">
      <c r="A7" s="54" t="s">
        <v>91</v>
      </c>
      <c r="B7" s="54" t="s">
        <v>375</v>
      </c>
      <c r="C7" s="55">
        <v>54.918999999999997</v>
      </c>
      <c r="D7" s="55">
        <v>1.40733723546467E-2</v>
      </c>
      <c r="E7" s="55">
        <v>-0.43097454000000002</v>
      </c>
      <c r="F7" s="55">
        <v>2.3140589999999999</v>
      </c>
    </row>
    <row r="8" spans="1:23" x14ac:dyDescent="0.3">
      <c r="A8" s="54" t="s">
        <v>91</v>
      </c>
      <c r="B8" s="54" t="s">
        <v>357</v>
      </c>
      <c r="C8" s="55">
        <v>558.28300000000002</v>
      </c>
      <c r="D8" s="55">
        <v>5.4060454873155202E-2</v>
      </c>
      <c r="E8" s="55">
        <v>1.1422752</v>
      </c>
      <c r="F8" s="55">
        <v>-0.78102762000000003</v>
      </c>
    </row>
    <row r="9" spans="1:23" x14ac:dyDescent="0.3">
      <c r="A9" s="54" t="s">
        <v>91</v>
      </c>
      <c r="B9" t="s">
        <v>376</v>
      </c>
      <c r="C9" s="55">
        <v>1114.181</v>
      </c>
      <c r="D9" s="55">
        <v>0.26159945975018101</v>
      </c>
      <c r="E9" s="55">
        <v>4.0830802999999998</v>
      </c>
      <c r="F9" s="55">
        <v>-0.65287225999999998</v>
      </c>
    </row>
    <row r="10" spans="1:23" x14ac:dyDescent="0.3">
      <c r="A10" s="54" t="s">
        <v>91</v>
      </c>
      <c r="B10" s="54" t="s">
        <v>377</v>
      </c>
      <c r="C10" s="55">
        <v>6.9240000000000004</v>
      </c>
      <c r="D10" s="55">
        <v>3.4765040490769999E-3</v>
      </c>
      <c r="E10" s="55">
        <v>-0.12218333000000001</v>
      </c>
      <c r="F10" s="55">
        <v>2.9684960999999999</v>
      </c>
    </row>
    <row r="11" spans="1:23" x14ac:dyDescent="0.3">
      <c r="A11" s="37" t="s">
        <v>93</v>
      </c>
      <c r="B11" s="37" t="s">
        <v>368</v>
      </c>
      <c r="C11" s="101">
        <v>476.03199999999998</v>
      </c>
      <c r="D11" s="101">
        <v>5.5199340754907102E-2</v>
      </c>
      <c r="E11" s="101">
        <v>-3.4518200999999999</v>
      </c>
      <c r="F11" s="101">
        <v>-0.37539718</v>
      </c>
    </row>
    <row r="12" spans="1:23" x14ac:dyDescent="0.3">
      <c r="A12" s="37" t="s">
        <v>93</v>
      </c>
      <c r="B12" s="37" t="s">
        <v>370</v>
      </c>
      <c r="C12" s="101">
        <v>1535.6780000000001</v>
      </c>
      <c r="D12" s="101">
        <v>0.18288758151414</v>
      </c>
      <c r="E12" s="101">
        <v>2.3051979999999999</v>
      </c>
      <c r="F12" s="101">
        <v>0.57433003000000005</v>
      </c>
    </row>
    <row r="13" spans="1:23" x14ac:dyDescent="0.3">
      <c r="A13" s="37" t="s">
        <v>93</v>
      </c>
      <c r="B13" s="37" t="s">
        <v>184</v>
      </c>
      <c r="C13" s="101">
        <v>649.22299999999996</v>
      </c>
      <c r="D13" s="101">
        <v>7.9471324209581307E-2</v>
      </c>
      <c r="E13" s="101">
        <v>-0.95972442999999996</v>
      </c>
      <c r="F13" s="101">
        <v>-0.12082337999999999</v>
      </c>
    </row>
    <row r="14" spans="1:23" x14ac:dyDescent="0.3">
      <c r="A14" s="37" t="s">
        <v>93</v>
      </c>
      <c r="B14" s="37" t="s">
        <v>373</v>
      </c>
      <c r="C14" s="101">
        <v>1376.778</v>
      </c>
      <c r="D14" s="101">
        <v>0.22189883291808099</v>
      </c>
      <c r="E14" s="101">
        <v>3.1882548000000002</v>
      </c>
      <c r="F14" s="101">
        <v>-1.1688159</v>
      </c>
    </row>
    <row r="15" spans="1:23" x14ac:dyDescent="0.3">
      <c r="A15" s="37" t="s">
        <v>93</v>
      </c>
      <c r="B15" s="37" t="s">
        <v>374</v>
      </c>
      <c r="C15" s="101">
        <v>491.87900000000002</v>
      </c>
      <c r="D15" s="101">
        <v>9.1690912007084804E-2</v>
      </c>
      <c r="E15" s="101">
        <v>-1.6859953000000001</v>
      </c>
      <c r="F15" s="101">
        <v>0.65565686999999995</v>
      </c>
    </row>
    <row r="16" spans="1:23" x14ac:dyDescent="0.3">
      <c r="A16" s="37" t="s">
        <v>93</v>
      </c>
      <c r="B16" s="37" t="s">
        <v>375</v>
      </c>
      <c r="C16" s="101">
        <v>130.98699999999999</v>
      </c>
      <c r="D16" s="101">
        <v>2.9749890974356E-2</v>
      </c>
      <c r="E16" s="101">
        <v>0.40515806999999998</v>
      </c>
      <c r="F16" s="101">
        <v>1.6797116999999999</v>
      </c>
    </row>
    <row r="17" spans="1:6" x14ac:dyDescent="0.3">
      <c r="A17" s="37" t="s">
        <v>93</v>
      </c>
      <c r="B17" s="37" t="s">
        <v>357</v>
      </c>
      <c r="C17" s="101">
        <v>1707.047</v>
      </c>
      <c r="D17" s="101">
        <v>7.7014992128789594E-2</v>
      </c>
      <c r="E17" s="101">
        <v>-0.70634710999999994</v>
      </c>
      <c r="F17" s="101">
        <v>-0.51094746999999996</v>
      </c>
    </row>
    <row r="18" spans="1:6" x14ac:dyDescent="0.3">
      <c r="A18" s="37" t="s">
        <v>93</v>
      </c>
      <c r="B18" s="37" t="s">
        <v>376</v>
      </c>
      <c r="C18" s="101">
        <v>1564.471</v>
      </c>
      <c r="D18" s="101">
        <v>0.23679540815767999</v>
      </c>
      <c r="E18" s="101">
        <v>-0.24851719</v>
      </c>
      <c r="F18" s="101">
        <v>-0.45209500000000002</v>
      </c>
    </row>
    <row r="19" spans="1:6" x14ac:dyDescent="0.3">
      <c r="A19" s="37" t="s">
        <v>93</v>
      </c>
      <c r="B19" s="37" t="s">
        <v>377</v>
      </c>
      <c r="C19" s="101">
        <v>61.741</v>
      </c>
      <c r="D19" s="101">
        <v>1.3132182658848199E-2</v>
      </c>
      <c r="E19" s="101">
        <v>0.51602011999999997</v>
      </c>
      <c r="F19" s="101">
        <v>1.4629247000000001</v>
      </c>
    </row>
    <row r="20" spans="1:6" x14ac:dyDescent="0.3">
      <c r="A20" s="99" t="s">
        <v>90</v>
      </c>
      <c r="B20" s="99" t="s">
        <v>368</v>
      </c>
      <c r="C20" s="102">
        <v>1034.4839999999999</v>
      </c>
      <c r="D20" s="102">
        <v>1.5498200921567101E-2</v>
      </c>
      <c r="E20" s="102">
        <v>0.42763259999999997</v>
      </c>
      <c r="F20" s="102">
        <v>0.1191942</v>
      </c>
    </row>
    <row r="21" spans="1:6" x14ac:dyDescent="0.3">
      <c r="A21" s="99" t="s">
        <v>90</v>
      </c>
      <c r="B21" s="99" t="s">
        <v>370</v>
      </c>
      <c r="C21" s="102">
        <v>3827.0659999999998</v>
      </c>
      <c r="D21" s="102">
        <v>0.18471123178481499</v>
      </c>
      <c r="E21" s="102">
        <v>1.872898</v>
      </c>
      <c r="F21" s="102">
        <v>0.13197428</v>
      </c>
    </row>
    <row r="22" spans="1:6" x14ac:dyDescent="0.3">
      <c r="A22" s="99" t="s">
        <v>90</v>
      </c>
      <c r="B22" s="99" t="s">
        <v>184</v>
      </c>
      <c r="C22" s="102">
        <v>1513.15</v>
      </c>
      <c r="D22" s="102">
        <v>8.5770160099652104E-2</v>
      </c>
      <c r="E22" s="102">
        <v>-0.94469093999999998</v>
      </c>
      <c r="F22" s="102">
        <v>-0.33102235000000002</v>
      </c>
    </row>
    <row r="23" spans="1:6" x14ac:dyDescent="0.3">
      <c r="A23" s="99" t="s">
        <v>90</v>
      </c>
      <c r="B23" s="99" t="s">
        <v>373</v>
      </c>
      <c r="C23" s="102">
        <v>5224.8770000000004</v>
      </c>
      <c r="D23" s="102">
        <v>0.22293285124067999</v>
      </c>
      <c r="E23" s="102">
        <v>-5.8739565000000001E-2</v>
      </c>
      <c r="F23" s="102">
        <v>-0.47009825999999999</v>
      </c>
    </row>
    <row r="24" spans="1:6" x14ac:dyDescent="0.3">
      <c r="A24" s="99" t="s">
        <v>90</v>
      </c>
      <c r="B24" s="99" t="s">
        <v>374</v>
      </c>
      <c r="C24" s="102">
        <v>1972.9469999999999</v>
      </c>
      <c r="D24" s="102">
        <v>0.109617593371015</v>
      </c>
      <c r="E24" s="102">
        <v>-1.5110414000000001</v>
      </c>
      <c r="F24" s="102">
        <v>1.0158551</v>
      </c>
    </row>
    <row r="25" spans="1:6" x14ac:dyDescent="0.3">
      <c r="A25" s="99" t="s">
        <v>90</v>
      </c>
      <c r="B25" s="99" t="s">
        <v>375</v>
      </c>
      <c r="C25" s="102">
        <v>61.587000000000003</v>
      </c>
      <c r="D25" s="102">
        <v>4.7967646922229996E-3</v>
      </c>
      <c r="E25" s="102">
        <v>0.13418226</v>
      </c>
      <c r="F25" s="102">
        <v>2.3033847999999999</v>
      </c>
    </row>
    <row r="26" spans="1:6" x14ac:dyDescent="0.3">
      <c r="A26" s="99" t="s">
        <v>90</v>
      </c>
      <c r="B26" s="99" t="s">
        <v>357</v>
      </c>
      <c r="C26" s="102">
        <v>2379.3270000000002</v>
      </c>
      <c r="D26" s="102">
        <v>0.12759422684112201</v>
      </c>
      <c r="E26" s="102">
        <v>-0.34571740000000001</v>
      </c>
      <c r="F26" s="102">
        <v>-1.1181681999999999</v>
      </c>
    </row>
    <row r="27" spans="1:6" x14ac:dyDescent="0.3">
      <c r="A27" s="99" t="s">
        <v>90</v>
      </c>
      <c r="B27" s="99" t="s">
        <v>376</v>
      </c>
      <c r="C27" s="102">
        <v>3818.0349999999999</v>
      </c>
      <c r="D27" s="102">
        <v>0.232178781344622</v>
      </c>
      <c r="E27" s="102">
        <v>0.63232553000000002</v>
      </c>
      <c r="F27" s="102">
        <v>-0.21309020000000001</v>
      </c>
    </row>
    <row r="28" spans="1:6" x14ac:dyDescent="0.3">
      <c r="A28" s="99" t="s">
        <v>90</v>
      </c>
      <c r="B28" s="99" t="s">
        <v>377</v>
      </c>
      <c r="C28" s="102">
        <v>303.59500000000003</v>
      </c>
      <c r="D28" s="102">
        <v>5.9567587398299E-3</v>
      </c>
      <c r="E28" s="102">
        <v>6.9556146999999999E-2</v>
      </c>
      <c r="F28" s="102">
        <v>6.0537010000000002E-2</v>
      </c>
    </row>
  </sheetData>
  <autoFilter ref="A1:F19" xr:uid="{592863F3-0E81-46E5-B224-3452019EAE9A}">
    <sortState xmlns:xlrd2="http://schemas.microsoft.com/office/spreadsheetml/2017/richdata2" ref="A2:F19">
      <sortCondition ref="A1:A19"/>
    </sortState>
  </autoFilter>
  <hyperlinks>
    <hyperlink ref="I1" location="Index!A1" display="'Index" xr:uid="{CDEA6D25-50F7-47DE-BA1D-1AFF1E75C4C6}"/>
  </hyperlinks>
  <pageMargins left="0.7" right="0.7" top="0.75" bottom="0.75" header="0.3" footer="0.3"/>
  <headerFooter>
    <oddFooter>&amp;R_x000D_&amp;1#&amp;"Calibri"&amp;10&amp;K000000 Official Use Only</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FB19F-C5DF-4C40-A5F6-E07C0DDD8E74}">
  <dimension ref="A1:I28"/>
  <sheetViews>
    <sheetView showGridLines="0" zoomScale="103" workbookViewId="0">
      <selection activeCell="H23" sqref="H23"/>
    </sheetView>
  </sheetViews>
  <sheetFormatPr defaultRowHeight="14.4" x14ac:dyDescent="0.3"/>
  <cols>
    <col min="1" max="1" width="9.5546875" bestFit="1" customWidth="1"/>
    <col min="2" max="3" width="14.109375" bestFit="1" customWidth="1"/>
    <col min="4" max="4" width="13.88671875" bestFit="1" customWidth="1"/>
    <col min="5" max="5" width="16.5546875" bestFit="1" customWidth="1"/>
    <col min="6" max="6" width="15.88671875" bestFit="1" customWidth="1"/>
  </cols>
  <sheetData>
    <row r="1" spans="1:9" x14ac:dyDescent="0.3">
      <c r="A1" t="s">
        <v>362</v>
      </c>
      <c r="B1" t="s">
        <v>363</v>
      </c>
      <c r="C1" s="93" t="s">
        <v>364</v>
      </c>
      <c r="D1" s="94" t="s">
        <v>365</v>
      </c>
      <c r="E1" s="48" t="s">
        <v>366</v>
      </c>
      <c r="F1" s="95" t="s">
        <v>367</v>
      </c>
      <c r="I1" s="24" t="s">
        <v>0</v>
      </c>
    </row>
    <row r="2" spans="1:9" ht="18" x14ac:dyDescent="0.3">
      <c r="A2" s="58" t="s">
        <v>92</v>
      </c>
      <c r="B2" s="58" t="s">
        <v>368</v>
      </c>
      <c r="C2" s="59">
        <v>9369.4230000000007</v>
      </c>
      <c r="D2" s="59">
        <v>7.8362042577854299E-2</v>
      </c>
      <c r="E2" s="59">
        <v>-2.3081689000000001</v>
      </c>
      <c r="F2" s="59">
        <v>-0.60217816000000002</v>
      </c>
      <c r="I2" s="100" t="s">
        <v>378</v>
      </c>
    </row>
    <row r="3" spans="1:9" x14ac:dyDescent="0.3">
      <c r="A3" s="58" t="s">
        <v>92</v>
      </c>
      <c r="B3" s="58" t="s">
        <v>370</v>
      </c>
      <c r="C3" s="59">
        <v>13983.342000000001</v>
      </c>
      <c r="D3" s="59">
        <v>0.18338669032287599</v>
      </c>
      <c r="E3" s="59">
        <v>2.5982520999999998</v>
      </c>
      <c r="F3" s="59">
        <v>0.76980161999999996</v>
      </c>
    </row>
    <row r="4" spans="1:9" x14ac:dyDescent="0.3">
      <c r="A4" s="58" t="s">
        <v>92</v>
      </c>
      <c r="B4" s="58" t="s">
        <v>184</v>
      </c>
      <c r="C4" s="59">
        <v>6429.68</v>
      </c>
      <c r="D4" s="59">
        <v>7.3659394762582597E-2</v>
      </c>
      <c r="E4" s="59">
        <v>-0.95529037999999999</v>
      </c>
      <c r="F4" s="59">
        <v>-0.43311840000000001</v>
      </c>
    </row>
    <row r="5" spans="1:9" x14ac:dyDescent="0.3">
      <c r="A5" s="58" t="s">
        <v>92</v>
      </c>
      <c r="B5" s="58" t="s">
        <v>373</v>
      </c>
      <c r="C5" s="59">
        <v>15505.63</v>
      </c>
      <c r="D5" s="59">
        <v>0.182536555535351</v>
      </c>
      <c r="E5" s="59">
        <v>1.2266486000000001</v>
      </c>
      <c r="F5" s="59">
        <v>0.24560251999999999</v>
      </c>
    </row>
    <row r="6" spans="1:9" x14ac:dyDescent="0.3">
      <c r="A6" s="58" t="s">
        <v>92</v>
      </c>
      <c r="B6" s="58" t="s">
        <v>374</v>
      </c>
      <c r="C6" s="59">
        <v>9668.8590000000004</v>
      </c>
      <c r="D6" s="59">
        <v>0.113952979990414</v>
      </c>
      <c r="E6" s="59">
        <v>-0.33595675000000003</v>
      </c>
      <c r="F6" s="59">
        <v>0.14807582999999999</v>
      </c>
    </row>
    <row r="7" spans="1:9" x14ac:dyDescent="0.3">
      <c r="A7" s="58" t="s">
        <v>92</v>
      </c>
      <c r="B7" s="58" t="s">
        <v>375</v>
      </c>
      <c r="C7" s="59">
        <v>358.86399999999998</v>
      </c>
      <c r="D7" s="59">
        <v>5.4397301494957997E-3</v>
      </c>
      <c r="E7" s="59">
        <v>8.1282443999999995E-2</v>
      </c>
      <c r="F7" s="59">
        <v>1.7566786000000001</v>
      </c>
    </row>
    <row r="8" spans="1:9" x14ac:dyDescent="0.3">
      <c r="A8" s="58" t="s">
        <v>92</v>
      </c>
      <c r="B8" s="58" t="s">
        <v>357</v>
      </c>
      <c r="C8" s="59">
        <v>15496.456</v>
      </c>
      <c r="D8" s="59">
        <v>0.112206919256453</v>
      </c>
      <c r="E8" s="59">
        <v>-0.14146437000000001</v>
      </c>
      <c r="F8" s="59">
        <v>-1.7486273000000001</v>
      </c>
    </row>
    <row r="9" spans="1:9" x14ac:dyDescent="0.3">
      <c r="A9" s="58" t="s">
        <v>92</v>
      </c>
      <c r="B9" s="58" t="s">
        <v>376</v>
      </c>
      <c r="C9" s="59">
        <v>20548.276999999998</v>
      </c>
      <c r="D9" s="59">
        <v>0.24325828652609499</v>
      </c>
      <c r="E9" s="59">
        <v>-3.0426565999999999E-2</v>
      </c>
      <c r="F9" s="59">
        <v>-0.35931137000000002</v>
      </c>
    </row>
    <row r="10" spans="1:9" x14ac:dyDescent="0.3">
      <c r="A10" s="58" t="s">
        <v>92</v>
      </c>
      <c r="B10" s="58" t="s">
        <v>377</v>
      </c>
      <c r="C10" s="59">
        <v>730.40599999999904</v>
      </c>
      <c r="D10" s="59">
        <v>7.0482601163537996E-3</v>
      </c>
      <c r="E10" s="59">
        <v>-0.14583649000000001</v>
      </c>
      <c r="F10" s="59">
        <v>1.2061649999999999</v>
      </c>
    </row>
    <row r="11" spans="1:9" x14ac:dyDescent="0.3">
      <c r="A11" s="54" t="s">
        <v>95</v>
      </c>
      <c r="B11" s="54" t="s">
        <v>368</v>
      </c>
      <c r="C11" s="55">
        <v>340.666</v>
      </c>
      <c r="D11" s="55">
        <v>8.8621380945145906E-2</v>
      </c>
      <c r="E11" s="55">
        <v>-4.2482594999999996</v>
      </c>
      <c r="F11" s="55">
        <v>-1.0565023</v>
      </c>
    </row>
    <row r="12" spans="1:9" x14ac:dyDescent="0.3">
      <c r="A12" s="54" t="s">
        <v>95</v>
      </c>
      <c r="B12" s="54" t="s">
        <v>370</v>
      </c>
      <c r="C12" s="55">
        <v>455.517</v>
      </c>
      <c r="D12" s="55">
        <v>0.21985908101026799</v>
      </c>
      <c r="E12" s="55">
        <v>4.0561284999999998</v>
      </c>
      <c r="F12" s="55">
        <v>0.59292305000000001</v>
      </c>
    </row>
    <row r="13" spans="1:9" x14ac:dyDescent="0.3">
      <c r="A13" s="54" t="s">
        <v>95</v>
      </c>
      <c r="B13" s="54" t="s">
        <v>184</v>
      </c>
      <c r="C13" s="55">
        <v>147.07599999999999</v>
      </c>
      <c r="D13" s="55">
        <v>5.97209318168474E-2</v>
      </c>
      <c r="E13" s="55">
        <v>-0.95644127999999995</v>
      </c>
      <c r="F13" s="55">
        <v>-0.31026854999999998</v>
      </c>
    </row>
    <row r="14" spans="1:9" x14ac:dyDescent="0.3">
      <c r="A14" s="54" t="s">
        <v>95</v>
      </c>
      <c r="B14" s="54" t="s">
        <v>373</v>
      </c>
      <c r="C14" s="55">
        <v>287.43200000000002</v>
      </c>
      <c r="D14" s="55">
        <v>0.15230607952363001</v>
      </c>
      <c r="E14" s="55">
        <v>0.47901716999999999</v>
      </c>
      <c r="F14" s="55">
        <v>0.40708466999999998</v>
      </c>
    </row>
    <row r="15" spans="1:9" x14ac:dyDescent="0.3">
      <c r="A15" s="54" t="s">
        <v>95</v>
      </c>
      <c r="B15" s="54" t="s">
        <v>374</v>
      </c>
      <c r="C15" s="55">
        <v>258.36399999999998</v>
      </c>
      <c r="D15" s="55">
        <v>0.10946745959929401</v>
      </c>
      <c r="E15" s="55">
        <v>3.4963213E-2</v>
      </c>
      <c r="F15" s="55">
        <v>4.7407738999999997E-2</v>
      </c>
    </row>
    <row r="16" spans="1:9" x14ac:dyDescent="0.3">
      <c r="A16" s="54" t="s">
        <v>95</v>
      </c>
      <c r="B16" s="54" t="s">
        <v>375</v>
      </c>
      <c r="C16" s="55">
        <v>1.5580000000000001</v>
      </c>
      <c r="D16" s="55">
        <v>1.3212555872125001E-3</v>
      </c>
      <c r="E16" s="55">
        <v>7.3185757000000004E-2</v>
      </c>
      <c r="F16" s="55">
        <v>1.4558724000000001</v>
      </c>
    </row>
    <row r="17" spans="1:6" x14ac:dyDescent="0.3">
      <c r="A17" s="54" t="s">
        <v>95</v>
      </c>
      <c r="B17" s="54" t="s">
        <v>357</v>
      </c>
      <c r="C17" s="55">
        <v>202.00299999999999</v>
      </c>
      <c r="D17" s="55">
        <v>0.11190470107936901</v>
      </c>
      <c r="E17" s="55">
        <v>0.32594946000000002</v>
      </c>
      <c r="F17" s="55">
        <v>-0.96201687999999996</v>
      </c>
    </row>
    <row r="18" spans="1:6" x14ac:dyDescent="0.3">
      <c r="A18" s="54" t="s">
        <v>95</v>
      </c>
      <c r="B18" s="54" t="s">
        <v>376</v>
      </c>
      <c r="C18" s="55">
        <v>472.71100000000001</v>
      </c>
      <c r="D18" s="55">
        <v>0.24068006118650301</v>
      </c>
      <c r="E18" s="55">
        <v>0.57718586999999999</v>
      </c>
      <c r="F18" s="55">
        <v>-0.47982620999999998</v>
      </c>
    </row>
    <row r="19" spans="1:6" x14ac:dyDescent="0.3">
      <c r="A19" s="54" t="s">
        <v>95</v>
      </c>
      <c r="B19" s="54" t="s">
        <v>377</v>
      </c>
      <c r="C19" s="55">
        <v>30.861000000000001</v>
      </c>
      <c r="D19" s="55">
        <v>1.47251873534148E-2</v>
      </c>
      <c r="E19" s="55">
        <v>0.12341866999999999</v>
      </c>
      <c r="F19" s="55">
        <v>0.76877426999999998</v>
      </c>
    </row>
    <row r="20" spans="1:6" x14ac:dyDescent="0.3">
      <c r="A20" s="103" t="s">
        <v>99</v>
      </c>
      <c r="B20" s="103" t="s">
        <v>368</v>
      </c>
      <c r="C20" s="104">
        <v>6826.48</v>
      </c>
      <c r="D20" s="104">
        <v>0.105216911914635</v>
      </c>
      <c r="E20" s="104">
        <v>-2.1202166</v>
      </c>
      <c r="F20" s="104">
        <v>-1.3010662</v>
      </c>
    </row>
    <row r="21" spans="1:6" x14ac:dyDescent="0.3">
      <c r="A21" s="103" t="s">
        <v>99</v>
      </c>
      <c r="B21" s="103" t="s">
        <v>370</v>
      </c>
      <c r="C21" s="104">
        <v>6683.6620000000003</v>
      </c>
      <c r="D21" s="104">
        <v>0.123704391114884</v>
      </c>
      <c r="E21" s="104">
        <v>1.3621055</v>
      </c>
      <c r="F21" s="104">
        <v>0.92102200000000001</v>
      </c>
    </row>
    <row r="22" spans="1:6" x14ac:dyDescent="0.3">
      <c r="A22" s="103" t="s">
        <v>99</v>
      </c>
      <c r="B22" s="103" t="s">
        <v>184</v>
      </c>
      <c r="C22" s="104">
        <v>4420.07</v>
      </c>
      <c r="D22" s="104">
        <v>8.1678851343413197E-2</v>
      </c>
      <c r="E22" s="104">
        <v>-0.13454120999999999</v>
      </c>
      <c r="F22" s="104">
        <v>-0.10746348999999999</v>
      </c>
    </row>
    <row r="23" spans="1:6" x14ac:dyDescent="0.3">
      <c r="A23" s="103" t="s">
        <v>99</v>
      </c>
      <c r="B23" s="103" t="s">
        <v>373</v>
      </c>
      <c r="C23" s="104">
        <v>6572.8509999999997</v>
      </c>
      <c r="D23" s="104">
        <v>0.12157371003935701</v>
      </c>
      <c r="E23" s="104">
        <v>-0.24861251000000001</v>
      </c>
      <c r="F23" s="104">
        <v>-0.13320397</v>
      </c>
    </row>
    <row r="24" spans="1:6" x14ac:dyDescent="0.3">
      <c r="A24" s="103" t="s">
        <v>99</v>
      </c>
      <c r="B24" s="103" t="s">
        <v>374</v>
      </c>
      <c r="C24" s="104">
        <v>8940.6569999999901</v>
      </c>
      <c r="D24" s="104">
        <v>0.163257420659224</v>
      </c>
      <c r="E24" s="104">
        <v>1.9880069E-2</v>
      </c>
      <c r="F24" s="104">
        <v>8.2794941999999996E-2</v>
      </c>
    </row>
    <row r="25" spans="1:6" x14ac:dyDescent="0.3">
      <c r="A25" s="103" t="s">
        <v>99</v>
      </c>
      <c r="B25" s="103" t="s">
        <v>375</v>
      </c>
      <c r="C25" s="104">
        <v>204.148</v>
      </c>
      <c r="D25" s="104">
        <v>3.7506928752773002E-3</v>
      </c>
      <c r="E25" s="104">
        <v>-3.8355465999999998E-2</v>
      </c>
      <c r="F25" s="104">
        <v>2.1418753000000001</v>
      </c>
    </row>
    <row r="26" spans="1:6" x14ac:dyDescent="0.3">
      <c r="A26" s="103" t="s">
        <v>99</v>
      </c>
      <c r="B26" s="103" t="s">
        <v>357</v>
      </c>
      <c r="C26" s="104">
        <v>5790.9780000000001</v>
      </c>
      <c r="D26" s="104">
        <v>8.39120238218556E-2</v>
      </c>
      <c r="E26" s="104">
        <v>-0.13949202999999999</v>
      </c>
      <c r="F26" s="104">
        <v>-1.4538555</v>
      </c>
    </row>
    <row r="27" spans="1:6" x14ac:dyDescent="0.3">
      <c r="A27" s="103" t="s">
        <v>99</v>
      </c>
      <c r="B27" s="103" t="s">
        <v>376</v>
      </c>
      <c r="C27" s="104">
        <v>14073.619000000001</v>
      </c>
      <c r="D27" s="104">
        <v>0.30691807019060602</v>
      </c>
      <c r="E27" s="104">
        <v>1.2225950999999999</v>
      </c>
      <c r="F27" s="104">
        <v>-0.18744425000000001</v>
      </c>
    </row>
    <row r="28" spans="1:6" x14ac:dyDescent="0.3">
      <c r="A28" s="103" t="s">
        <v>99</v>
      </c>
      <c r="B28" s="103" t="s">
        <v>377</v>
      </c>
      <c r="C28" s="104">
        <v>208.73</v>
      </c>
      <c r="D28" s="104">
        <v>3.4479747263654998E-3</v>
      </c>
      <c r="E28" s="104">
        <v>-5.1828407E-2</v>
      </c>
      <c r="F28" s="104">
        <v>1.4382569000000001</v>
      </c>
    </row>
  </sheetData>
  <autoFilter ref="A1:F28" xr:uid="{592863F3-0E81-46E5-B224-3452019EAE9A}">
    <sortState xmlns:xlrd2="http://schemas.microsoft.com/office/spreadsheetml/2017/richdata2" ref="A2:F28">
      <sortCondition ref="A1:A28"/>
    </sortState>
  </autoFilter>
  <hyperlinks>
    <hyperlink ref="I1" location="Index!A1" display="'Index" xr:uid="{FC1D2550-56DF-47E1-9CD8-F11491649F78}"/>
  </hyperlinks>
  <pageMargins left="0.7" right="0.7" top="0.75" bottom="0.75" header="0.3" footer="0.3"/>
  <headerFooter>
    <oddFooter>&amp;R_x000D_&amp;1#&amp;"Calibri"&amp;10&amp;K000000 Official Use Only</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0BC9F-F326-48AF-9176-F9336C605D14}">
  <dimension ref="A1:Q20"/>
  <sheetViews>
    <sheetView zoomScale="96" zoomScaleNormal="160" workbookViewId="0">
      <selection activeCell="D11" activeCellId="1" sqref="D5:D9 D11:D15"/>
    </sheetView>
  </sheetViews>
  <sheetFormatPr defaultRowHeight="14.4" x14ac:dyDescent="0.3"/>
  <cols>
    <col min="1" max="1" width="17.109375" bestFit="1" customWidth="1"/>
    <col min="2" max="4" width="9.44140625" customWidth="1"/>
    <col min="5" max="5" width="10.5546875" customWidth="1"/>
    <col min="6" max="6" width="17.109375" bestFit="1" customWidth="1"/>
    <col min="7" max="7" width="10.5546875" bestFit="1" customWidth="1"/>
    <col min="8" max="9" width="9.88671875" bestFit="1" customWidth="1"/>
  </cols>
  <sheetData>
    <row r="1" spans="1:17" ht="13.5" customHeight="1" x14ac:dyDescent="0.3">
      <c r="A1" s="24" t="s">
        <v>0</v>
      </c>
    </row>
    <row r="2" spans="1:17" ht="13.5" customHeight="1" x14ac:dyDescent="0.3">
      <c r="A2" s="100" t="s">
        <v>379</v>
      </c>
      <c r="B2" s="100"/>
      <c r="C2" s="100"/>
      <c r="D2" s="100"/>
    </row>
    <row r="3" spans="1:17" x14ac:dyDescent="0.3">
      <c r="B3" s="194" t="s">
        <v>380</v>
      </c>
      <c r="C3" s="194"/>
      <c r="D3" s="194"/>
      <c r="F3" s="195" t="s">
        <v>381</v>
      </c>
      <c r="G3" s="195"/>
      <c r="H3" s="195"/>
      <c r="I3" s="195"/>
      <c r="J3" s="195"/>
      <c r="K3" s="195"/>
      <c r="L3" s="195"/>
      <c r="M3" s="195"/>
      <c r="N3" s="195"/>
      <c r="O3" s="195"/>
      <c r="P3" s="195"/>
      <c r="Q3" s="195"/>
    </row>
    <row r="4" spans="1:17" x14ac:dyDescent="0.3">
      <c r="A4" s="105"/>
      <c r="B4" s="106" t="s">
        <v>123</v>
      </c>
      <c r="C4" s="106" t="s">
        <v>382</v>
      </c>
      <c r="D4" s="106" t="s">
        <v>383</v>
      </c>
    </row>
    <row r="5" spans="1:17" x14ac:dyDescent="0.3">
      <c r="A5" t="s">
        <v>95</v>
      </c>
      <c r="B5" s="46">
        <v>2.4165809154510498E-2</v>
      </c>
      <c r="C5" s="46">
        <v>5.4950118064880371E-2</v>
      </c>
      <c r="D5" s="46">
        <v>7.9115927219390869E-2</v>
      </c>
    </row>
    <row r="6" spans="1:17" x14ac:dyDescent="0.3">
      <c r="A6" t="s">
        <v>127</v>
      </c>
      <c r="B6" s="46">
        <v>2.3626744747161865E-2</v>
      </c>
      <c r="C6" s="46">
        <v>8.8055729866027832E-3</v>
      </c>
      <c r="D6" s="46">
        <v>3.2432317733764648E-2</v>
      </c>
    </row>
    <row r="7" spans="1:17" x14ac:dyDescent="0.3">
      <c r="A7" t="s">
        <v>99</v>
      </c>
      <c r="B7" s="46">
        <v>8.5534453392028809E-3</v>
      </c>
      <c r="C7" s="46">
        <v>2.2091448307037354E-2</v>
      </c>
      <c r="D7" s="46">
        <v>3.0644893646240234E-2</v>
      </c>
    </row>
    <row r="8" spans="1:17" x14ac:dyDescent="0.3">
      <c r="A8" t="s">
        <v>92</v>
      </c>
      <c r="B8" s="46">
        <v>-2.203059196472168E-2</v>
      </c>
      <c r="C8" s="46">
        <v>5.189216136932373E-2</v>
      </c>
      <c r="D8" s="46">
        <v>2.9861569404602051E-2</v>
      </c>
    </row>
    <row r="9" spans="1:17" x14ac:dyDescent="0.3">
      <c r="A9" t="s">
        <v>96</v>
      </c>
      <c r="B9" s="46">
        <v>2.5015056133270264E-2</v>
      </c>
      <c r="C9" s="46">
        <v>4.0537714958190918E-3</v>
      </c>
      <c r="D9" s="46">
        <v>2.9068827629089355E-2</v>
      </c>
    </row>
    <row r="10" spans="1:17" x14ac:dyDescent="0.3">
      <c r="A10" t="s">
        <v>128</v>
      </c>
      <c r="B10" s="46">
        <v>-1.6875394753047557E-3</v>
      </c>
      <c r="C10" s="46">
        <v>2.7016001514026167E-2</v>
      </c>
      <c r="D10" s="46">
        <v>2.5328462038721411E-2</v>
      </c>
    </row>
    <row r="11" spans="1:17" x14ac:dyDescent="0.3">
      <c r="A11" t="s">
        <v>93</v>
      </c>
      <c r="B11" s="46">
        <v>-9.0860128402709961E-3</v>
      </c>
      <c r="C11" s="46">
        <v>1.1224865913391113E-2</v>
      </c>
      <c r="D11" s="46">
        <v>2.1388530731201172E-3</v>
      </c>
    </row>
    <row r="12" spans="1:17" x14ac:dyDescent="0.3">
      <c r="A12" t="s">
        <v>100</v>
      </c>
      <c r="B12" s="46">
        <v>5.3201317787170965E-3</v>
      </c>
      <c r="C12" s="46">
        <v>-2.2591143846511896E-2</v>
      </c>
      <c r="D12" s="46">
        <v>-1.72710120677948E-2</v>
      </c>
    </row>
    <row r="13" spans="1:17" x14ac:dyDescent="0.3">
      <c r="A13" t="s">
        <v>90</v>
      </c>
      <c r="B13" s="46">
        <v>-4.0315628051757813E-2</v>
      </c>
      <c r="C13" s="46">
        <v>2.1307468414306641E-2</v>
      </c>
      <c r="D13" s="46">
        <v>-1.9008159637451172E-2</v>
      </c>
    </row>
    <row r="14" spans="1:17" x14ac:dyDescent="0.3">
      <c r="A14" t="s">
        <v>97</v>
      </c>
      <c r="B14" s="46">
        <v>-7.7865123748779297E-3</v>
      </c>
      <c r="C14" s="46">
        <v>-1.8710076808929443E-2</v>
      </c>
      <c r="D14" s="46">
        <v>-2.6496589183807373E-2</v>
      </c>
    </row>
    <row r="15" spans="1:17" x14ac:dyDescent="0.3">
      <c r="A15" t="s">
        <v>384</v>
      </c>
      <c r="B15" s="46">
        <v>-3.3736586570739746E-2</v>
      </c>
      <c r="C15" s="46">
        <v>-1.8078088760375977E-4</v>
      </c>
      <c r="D15" s="46">
        <v>-3.3917367458343506E-2</v>
      </c>
    </row>
    <row r="16" spans="1:17" x14ac:dyDescent="0.3">
      <c r="B16" s="46"/>
      <c r="C16" s="46"/>
      <c r="D16" s="46"/>
    </row>
    <row r="17" spans="1:4" x14ac:dyDescent="0.3">
      <c r="B17" s="46"/>
      <c r="C17" s="46"/>
      <c r="D17" s="46"/>
    </row>
    <row r="18" spans="1:4" x14ac:dyDescent="0.3">
      <c r="B18" s="46"/>
      <c r="C18" s="46"/>
      <c r="D18" s="46"/>
    </row>
    <row r="19" spans="1:4" x14ac:dyDescent="0.3">
      <c r="B19" s="46"/>
      <c r="C19" s="46"/>
      <c r="D19" s="46"/>
    </row>
    <row r="20" spans="1:4" x14ac:dyDescent="0.3">
      <c r="A20" s="105"/>
      <c r="B20" s="107"/>
      <c r="C20" s="107"/>
      <c r="D20" s="107"/>
    </row>
  </sheetData>
  <mergeCells count="2">
    <mergeCell ref="B3:D3"/>
    <mergeCell ref="F3:Q3"/>
  </mergeCells>
  <hyperlinks>
    <hyperlink ref="A1" location="Index!A1" display="'Index" xr:uid="{F91C3316-0B80-4B8C-94AC-CED99394CAB6}"/>
  </hyperlinks>
  <pageMargins left="0.7" right="0.7" top="0.75" bottom="0.75" header="0.3" footer="0.3"/>
  <headerFooter>
    <oddFooter>&amp;R_x000D_&amp;1#&amp;"Calibri"&amp;10&amp;K000000 Official Use Only</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19122-9D28-47DC-8BEA-F5D9DA8C2BFA}">
  <dimension ref="A1:Q33"/>
  <sheetViews>
    <sheetView showGridLines="0" topLeftCell="A25" zoomScaleNormal="100" workbookViewId="0">
      <selection activeCell="H27" sqref="H27"/>
    </sheetView>
  </sheetViews>
  <sheetFormatPr defaultColWidth="9.109375" defaultRowHeight="14.4" x14ac:dyDescent="0.3"/>
  <cols>
    <col min="1" max="1" width="21.5546875" style="10" bestFit="1" customWidth="1"/>
    <col min="2" max="2" width="14.109375" style="10" customWidth="1"/>
    <col min="3" max="4" width="8.109375" style="10" customWidth="1"/>
    <col min="5" max="5" width="71.44140625" style="10" bestFit="1" customWidth="1"/>
    <col min="6" max="6" width="8.88671875" style="10" customWidth="1"/>
    <col min="7" max="7" width="11.5546875" style="10" customWidth="1"/>
    <col min="8" max="8" width="11.109375" style="10" bestFit="1" customWidth="1"/>
    <col min="9" max="9" width="5.109375" style="10" bestFit="1" customWidth="1"/>
    <col min="10" max="10" width="11.88671875" style="10" bestFit="1" customWidth="1"/>
    <col min="11" max="11" width="5.109375" style="10" bestFit="1" customWidth="1"/>
    <col min="12" max="12" width="11.88671875" style="10" bestFit="1" customWidth="1"/>
    <col min="13" max="16384" width="9.109375" style="10"/>
  </cols>
  <sheetData>
    <row r="1" spans="1:12" x14ac:dyDescent="0.3">
      <c r="A1" s="35" t="s">
        <v>385</v>
      </c>
      <c r="B1" s="121"/>
      <c r="C1" s="121"/>
      <c r="D1" s="121"/>
      <c r="E1" s="121"/>
      <c r="F1" s="115"/>
    </row>
    <row r="2" spans="1:12" x14ac:dyDescent="0.3">
      <c r="A2" s="108" t="s">
        <v>0</v>
      </c>
      <c r="B2" s="109"/>
    </row>
    <row r="3" spans="1:12" x14ac:dyDescent="0.3">
      <c r="B3" s="110"/>
      <c r="C3" s="110"/>
      <c r="D3" s="110"/>
      <c r="E3" s="110"/>
      <c r="F3" s="110"/>
      <c r="G3" s="43" t="s">
        <v>386</v>
      </c>
      <c r="H3" s="43" t="s">
        <v>387</v>
      </c>
      <c r="I3" s="43" t="s">
        <v>388</v>
      </c>
      <c r="J3" s="43" t="s">
        <v>389</v>
      </c>
      <c r="K3" s="43" t="s">
        <v>388</v>
      </c>
      <c r="L3" s="43" t="s">
        <v>389</v>
      </c>
    </row>
    <row r="4" spans="1:12" x14ac:dyDescent="0.3">
      <c r="A4" s="116" t="s">
        <v>390</v>
      </c>
      <c r="B4" s="117">
        <v>2016</v>
      </c>
      <c r="C4" s="118">
        <v>2024</v>
      </c>
      <c r="D4" s="13" t="s">
        <v>380</v>
      </c>
      <c r="E4" s="13"/>
      <c r="G4" s="31" t="s">
        <v>391</v>
      </c>
      <c r="H4" s="31" t="s">
        <v>137</v>
      </c>
      <c r="I4" s="31">
        <v>2016</v>
      </c>
      <c r="J4" s="45">
        <v>34.182703248183699</v>
      </c>
      <c r="K4" s="31">
        <v>2021</v>
      </c>
      <c r="L4" s="45">
        <v>29.542143843524798</v>
      </c>
    </row>
    <row r="5" spans="1:12" x14ac:dyDescent="0.3">
      <c r="A5" s="13" t="s">
        <v>90</v>
      </c>
      <c r="B5" s="119">
        <v>37.367780209065501</v>
      </c>
      <c r="C5" s="119">
        <v>41.3068167700564</v>
      </c>
      <c r="D5" s="119">
        <v>3.9390365609908717E-2</v>
      </c>
      <c r="E5" s="13"/>
      <c r="G5" s="31" t="s">
        <v>392</v>
      </c>
      <c r="H5" s="31" t="s">
        <v>134</v>
      </c>
      <c r="I5" s="31">
        <v>2016</v>
      </c>
      <c r="J5" s="45">
        <v>31.216534291186697</v>
      </c>
      <c r="K5" s="31">
        <v>2022</v>
      </c>
      <c r="L5" s="45">
        <v>35.3915235216258</v>
      </c>
    </row>
    <row r="6" spans="1:12" x14ac:dyDescent="0.3">
      <c r="A6" s="13" t="s">
        <v>91</v>
      </c>
      <c r="B6" s="119">
        <v>38.535472129967005</v>
      </c>
      <c r="C6" s="119">
        <v>37.955479693792597</v>
      </c>
      <c r="D6" s="119">
        <v>-6.0031785797797204E-3</v>
      </c>
      <c r="E6" s="13"/>
      <c r="G6" s="31" t="s">
        <v>393</v>
      </c>
      <c r="H6" s="31" t="s">
        <v>147</v>
      </c>
      <c r="I6" s="31">
        <v>2017</v>
      </c>
      <c r="J6" s="45">
        <v>35.903265087285</v>
      </c>
      <c r="K6" s="31">
        <v>2021</v>
      </c>
      <c r="L6" s="45">
        <v>34.6687023668973</v>
      </c>
    </row>
    <row r="7" spans="1:12" x14ac:dyDescent="0.3">
      <c r="A7" s="13" t="s">
        <v>92</v>
      </c>
      <c r="B7" s="119">
        <v>44.851263304493898</v>
      </c>
      <c r="C7" s="119">
        <v>44.460794620374003</v>
      </c>
      <c r="D7" s="119">
        <v>-4.049058647100312E-3</v>
      </c>
      <c r="E7" s="13"/>
      <c r="G7" s="31" t="s">
        <v>394</v>
      </c>
      <c r="H7" s="31" t="s">
        <v>129</v>
      </c>
      <c r="I7" s="31">
        <v>2017</v>
      </c>
      <c r="J7" s="45">
        <v>44.130992357389999</v>
      </c>
      <c r="K7" s="31">
        <v>2021</v>
      </c>
      <c r="L7" s="45">
        <v>42.077523082401299</v>
      </c>
    </row>
    <row r="8" spans="1:12" x14ac:dyDescent="0.3">
      <c r="A8" s="13" t="s">
        <v>93</v>
      </c>
      <c r="B8" s="119">
        <v>41.756667945548699</v>
      </c>
      <c r="C8" s="119">
        <v>38.937311174741801</v>
      </c>
      <c r="D8" s="119">
        <v>-2.8773882025450892E-2</v>
      </c>
      <c r="E8" s="13" t="s">
        <v>395</v>
      </c>
      <c r="G8" s="31" t="s">
        <v>396</v>
      </c>
      <c r="H8" s="31" t="s">
        <v>141</v>
      </c>
      <c r="I8" s="31">
        <v>2015</v>
      </c>
      <c r="J8" s="45">
        <v>41.092089829728302</v>
      </c>
      <c r="K8" s="31">
        <v>2021</v>
      </c>
      <c r="L8" s="45">
        <v>45.098563811032101</v>
      </c>
    </row>
    <row r="9" spans="1:12" x14ac:dyDescent="0.3">
      <c r="A9" s="13" t="s">
        <v>94</v>
      </c>
      <c r="B9" s="119">
        <v>45.021136707970896</v>
      </c>
      <c r="C9" s="119">
        <v>43.175421196438101</v>
      </c>
      <c r="D9" s="119">
        <v>2.8512194856847528E-2</v>
      </c>
      <c r="E9" s="13" t="s">
        <v>397</v>
      </c>
      <c r="G9" s="31" t="s">
        <v>398</v>
      </c>
      <c r="H9" s="31" t="s">
        <v>142</v>
      </c>
      <c r="I9" s="31">
        <v>2016</v>
      </c>
      <c r="J9" s="45">
        <v>25.151212485283398</v>
      </c>
      <c r="K9" s="31">
        <v>2021</v>
      </c>
      <c r="L9" s="45">
        <v>27.448410422023201</v>
      </c>
    </row>
    <row r="10" spans="1:12" x14ac:dyDescent="0.3">
      <c r="A10" s="13" t="s">
        <v>95</v>
      </c>
      <c r="B10" s="119">
        <v>40.337468688723099</v>
      </c>
      <c r="C10" s="119">
        <v>35.3774908202438</v>
      </c>
      <c r="D10" s="119">
        <v>-5.0283361624009371E-2</v>
      </c>
      <c r="E10" s="13"/>
      <c r="G10" s="31" t="s">
        <v>399</v>
      </c>
      <c r="H10" s="31" t="s">
        <v>135</v>
      </c>
      <c r="I10" s="31">
        <v>2016</v>
      </c>
      <c r="J10" s="45">
        <v>37.611860624458998</v>
      </c>
      <c r="K10" s="31">
        <v>2021</v>
      </c>
      <c r="L10" s="45">
        <v>33.238346303440899</v>
      </c>
    </row>
    <row r="11" spans="1:12" x14ac:dyDescent="0.3">
      <c r="A11" s="13" t="s">
        <v>96</v>
      </c>
      <c r="B11" s="119">
        <v>43.167866037231597</v>
      </c>
      <c r="C11" s="119">
        <v>39.4070889992594</v>
      </c>
      <c r="D11" s="119">
        <v>-3.7607770379722516E-2</v>
      </c>
      <c r="E11" s="13" t="s">
        <v>400</v>
      </c>
      <c r="G11" s="31" t="s">
        <v>401</v>
      </c>
      <c r="H11" s="31" t="s">
        <v>143</v>
      </c>
      <c r="I11" s="31">
        <v>2016</v>
      </c>
      <c r="J11" s="45">
        <v>37.468723090029997</v>
      </c>
      <c r="K11" s="31">
        <v>2021</v>
      </c>
      <c r="L11" s="45">
        <v>34.895537006505798</v>
      </c>
    </row>
    <row r="12" spans="1:12" x14ac:dyDescent="0.3">
      <c r="A12" s="13" t="s">
        <v>97</v>
      </c>
      <c r="B12" s="119">
        <v>34.177180681627704</v>
      </c>
      <c r="C12" s="119">
        <v>30.6399288357714</v>
      </c>
      <c r="D12" s="119">
        <v>-3.0342129718663291E-2</v>
      </c>
      <c r="E12" s="13" t="s">
        <v>402</v>
      </c>
      <c r="G12" s="31" t="s">
        <v>403</v>
      </c>
      <c r="H12" s="31"/>
      <c r="I12" s="31"/>
      <c r="J12" s="31"/>
      <c r="K12" s="31"/>
      <c r="L12" s="31"/>
    </row>
    <row r="13" spans="1:12" x14ac:dyDescent="0.3">
      <c r="A13" s="13" t="s">
        <v>127</v>
      </c>
      <c r="B13" s="119">
        <v>36.487248586690903</v>
      </c>
      <c r="C13" s="119">
        <v>33.3747554451867</v>
      </c>
      <c r="D13" s="119">
        <v>-3.1124931415042134E-2</v>
      </c>
      <c r="E13" s="13" t="s">
        <v>395</v>
      </c>
      <c r="G13" s="196" t="s">
        <v>404</v>
      </c>
      <c r="H13" s="196"/>
      <c r="I13" s="196"/>
      <c r="J13" s="196"/>
      <c r="K13" s="196"/>
      <c r="L13" s="196"/>
    </row>
    <row r="14" spans="1:12" x14ac:dyDescent="0.3">
      <c r="A14" s="13" t="s">
        <v>128</v>
      </c>
      <c r="B14" s="119">
        <v>38.331306370538897</v>
      </c>
      <c r="C14" s="119">
        <v>38.2198277671569</v>
      </c>
      <c r="D14" s="120">
        <v>-1.2758931330021428E-2</v>
      </c>
      <c r="E14" s="13" t="s">
        <v>405</v>
      </c>
      <c r="G14" s="197"/>
      <c r="H14" s="197"/>
      <c r="I14" s="197"/>
      <c r="J14" s="197"/>
      <c r="K14" s="197"/>
      <c r="L14" s="197"/>
    </row>
    <row r="15" spans="1:12" x14ac:dyDescent="0.3">
      <c r="A15" s="13" t="s">
        <v>99</v>
      </c>
      <c r="B15" s="119">
        <v>37.041460556807898</v>
      </c>
      <c r="C15" s="119">
        <v>35.1828771357644</v>
      </c>
      <c r="D15" s="119">
        <v>-1.5646187434757708E-2</v>
      </c>
      <c r="E15" s="13"/>
      <c r="G15" s="197"/>
      <c r="H15" s="197"/>
      <c r="I15" s="197"/>
      <c r="J15" s="197"/>
      <c r="K15" s="197"/>
      <c r="L15" s="197"/>
    </row>
    <row r="16" spans="1:12" x14ac:dyDescent="0.3">
      <c r="A16" s="13" t="s">
        <v>343</v>
      </c>
      <c r="B16" s="119">
        <v>36.252121901158901</v>
      </c>
      <c r="C16" s="119">
        <v>39.128852233560302</v>
      </c>
      <c r="D16" s="119">
        <v>1.7013309712372415E-2</v>
      </c>
      <c r="E16" s="13" t="s">
        <v>406</v>
      </c>
      <c r="G16" s="197"/>
      <c r="H16" s="197"/>
      <c r="I16" s="197"/>
      <c r="J16" s="197"/>
      <c r="K16" s="197"/>
      <c r="L16" s="197"/>
    </row>
    <row r="17" spans="1:17" x14ac:dyDescent="0.3">
      <c r="A17" s="13" t="s">
        <v>101</v>
      </c>
      <c r="B17" s="119">
        <v>33.9335778035557</v>
      </c>
      <c r="C17" s="119">
        <v>34.1264830963067</v>
      </c>
      <c r="D17" s="119">
        <v>-8.6524015019018297E-4</v>
      </c>
      <c r="E17" s="13" t="s">
        <v>402</v>
      </c>
      <c r="G17" s="197"/>
      <c r="H17" s="197"/>
      <c r="I17" s="197"/>
      <c r="J17" s="197"/>
      <c r="K17" s="197"/>
      <c r="L17" s="197"/>
      <c r="M17" s="111"/>
      <c r="N17" s="111"/>
      <c r="O17" s="111"/>
      <c r="P17" s="111"/>
      <c r="Q17" s="111"/>
    </row>
    <row r="18" spans="1:17" x14ac:dyDescent="0.3">
      <c r="A18" s="13" t="s">
        <v>126</v>
      </c>
      <c r="B18" s="119">
        <v>36.217989890784501</v>
      </c>
      <c r="C18" s="119">
        <v>36.576810430191301</v>
      </c>
      <c r="D18" s="119">
        <v>-4.608623749469154E-2</v>
      </c>
      <c r="E18" s="13"/>
      <c r="G18" s="197"/>
      <c r="H18" s="197"/>
      <c r="I18" s="197"/>
      <c r="J18" s="197"/>
      <c r="K18" s="197"/>
      <c r="L18" s="197"/>
      <c r="M18" s="111"/>
      <c r="N18" s="111"/>
      <c r="O18" s="111"/>
      <c r="P18" s="111"/>
      <c r="Q18" s="111"/>
    </row>
    <row r="19" spans="1:17" hidden="1" x14ac:dyDescent="0.3">
      <c r="A19" s="198" t="s">
        <v>407</v>
      </c>
      <c r="B19" s="198"/>
      <c r="C19" s="198"/>
      <c r="D19" s="198"/>
      <c r="E19" s="198"/>
      <c r="F19" s="112"/>
      <c r="G19" s="197"/>
      <c r="H19" s="197"/>
      <c r="I19" s="197"/>
      <c r="J19" s="197"/>
      <c r="K19" s="197"/>
      <c r="L19" s="197"/>
      <c r="M19" s="111"/>
      <c r="N19" s="111"/>
      <c r="O19" s="111"/>
      <c r="P19" s="111"/>
      <c r="Q19" s="111"/>
    </row>
    <row r="20" spans="1:17" hidden="1" x14ac:dyDescent="0.3">
      <c r="A20" s="199"/>
      <c r="B20" s="199"/>
      <c r="C20" s="199"/>
      <c r="D20" s="199"/>
      <c r="E20" s="199"/>
      <c r="F20" s="112"/>
      <c r="G20" s="197"/>
      <c r="H20" s="197"/>
      <c r="I20" s="197"/>
      <c r="J20" s="197"/>
      <c r="K20" s="197"/>
      <c r="L20" s="197"/>
      <c r="M20" s="111"/>
      <c r="N20" s="111"/>
      <c r="O20" s="111"/>
      <c r="P20" s="111"/>
      <c r="Q20" s="111"/>
    </row>
    <row r="21" spans="1:17" hidden="1" x14ac:dyDescent="0.3">
      <c r="A21" s="199"/>
      <c r="B21" s="199"/>
      <c r="C21" s="199"/>
      <c r="D21" s="199"/>
      <c r="E21" s="199"/>
      <c r="F21" s="112"/>
      <c r="G21" s="111"/>
      <c r="H21" s="111"/>
      <c r="I21" s="111"/>
      <c r="J21" s="111"/>
      <c r="K21" s="111"/>
      <c r="L21" s="111"/>
      <c r="M21" s="111"/>
      <c r="N21" s="111"/>
      <c r="O21" s="111"/>
      <c r="P21" s="111"/>
      <c r="Q21" s="111"/>
    </row>
    <row r="22" spans="1:17" x14ac:dyDescent="0.3">
      <c r="A22" s="112"/>
      <c r="B22" s="112"/>
      <c r="C22" s="112"/>
      <c r="D22" s="112"/>
      <c r="E22" s="112"/>
      <c r="F22" s="112"/>
      <c r="G22" s="111"/>
      <c r="H22" s="111"/>
      <c r="I22" s="111"/>
      <c r="J22" s="111"/>
      <c r="K22" s="111"/>
      <c r="L22" s="111"/>
      <c r="M22" s="111"/>
      <c r="N22" s="111"/>
      <c r="O22" s="111"/>
      <c r="P22" s="111"/>
      <c r="Q22" s="111"/>
    </row>
    <row r="23" spans="1:17" x14ac:dyDescent="0.3">
      <c r="A23" s="111"/>
      <c r="B23" s="111"/>
      <c r="C23" s="111"/>
      <c r="D23" s="111"/>
      <c r="E23" s="111"/>
      <c r="F23" s="111"/>
      <c r="G23" s="111"/>
      <c r="H23" s="111"/>
      <c r="I23" s="111"/>
      <c r="J23" s="111"/>
      <c r="K23" s="111"/>
      <c r="L23" s="111"/>
    </row>
    <row r="24" spans="1:17" x14ac:dyDescent="0.3">
      <c r="A24" s="111"/>
      <c r="B24" s="111"/>
      <c r="C24" s="111"/>
      <c r="D24" s="111"/>
      <c r="E24" s="111"/>
      <c r="F24" s="111"/>
      <c r="G24" s="111"/>
      <c r="H24" s="111"/>
      <c r="I24" s="111"/>
      <c r="J24" s="111"/>
      <c r="K24" s="111"/>
      <c r="L24" s="111"/>
    </row>
    <row r="25" spans="1:17" x14ac:dyDescent="0.3">
      <c r="C25" s="113"/>
      <c r="D25" s="113"/>
      <c r="E25" s="113"/>
      <c r="F25" s="113"/>
      <c r="G25" s="111"/>
      <c r="H25" s="111"/>
      <c r="I25" s="111"/>
      <c r="J25" s="111"/>
      <c r="K25" s="111"/>
      <c r="L25" s="111"/>
    </row>
    <row r="26" spans="1:17" ht="159.75" customHeight="1" x14ac:dyDescent="0.3"/>
    <row r="27" spans="1:17" ht="148.35" customHeight="1" x14ac:dyDescent="0.3"/>
    <row r="29" spans="1:17" ht="73.5" customHeight="1" x14ac:dyDescent="0.3"/>
    <row r="30" spans="1:17" ht="19.8" x14ac:dyDescent="0.3">
      <c r="B30" s="114"/>
    </row>
    <row r="31" spans="1:17" x14ac:dyDescent="0.3">
      <c r="C31" s="9"/>
      <c r="D31" s="9"/>
      <c r="E31" s="9"/>
      <c r="F31" s="9"/>
    </row>
    <row r="33" spans="1:2" x14ac:dyDescent="0.3">
      <c r="A33" s="110"/>
      <c r="B33" s="110"/>
    </row>
  </sheetData>
  <autoFilter ref="A4:E17" xr:uid="{29593EAF-2406-461A-B7C6-44FC57C7C803}">
    <sortState xmlns:xlrd2="http://schemas.microsoft.com/office/spreadsheetml/2017/richdata2" ref="A5:E20">
      <sortCondition ref="A4:A17"/>
    </sortState>
  </autoFilter>
  <mergeCells count="2">
    <mergeCell ref="G13:L20"/>
    <mergeCell ref="A19:E21"/>
  </mergeCells>
  <conditionalFormatting sqref="D5:D18">
    <cfRule type="cellIs" dxfId="0" priority="1" operator="greaterThan">
      <formula>0.5</formula>
    </cfRule>
  </conditionalFormatting>
  <hyperlinks>
    <hyperlink ref="A2" location="Index!A1" display="'Index" xr:uid="{6710654E-4DB5-42E0-A012-08D7DA19668E}"/>
  </hyperlinks>
  <pageMargins left="0.7" right="0.7" top="0.75" bottom="0.75" header="0.3" footer="0.3"/>
  <pageSetup paperSize="9" orientation="portrait" horizontalDpi="1200" verticalDpi="1200" r:id="rId1"/>
  <headerFooter>
    <oddFooter>&amp;R_x000D_&amp;1#&amp;"Calibri"&amp;10&amp;K000000 Official Use Only</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625CF-EAE2-44A4-8C82-A49EA8A4D0A9}">
  <dimension ref="A1:U20"/>
  <sheetViews>
    <sheetView showGridLines="0" zoomScale="115" workbookViewId="0">
      <selection activeCell="B3" sqref="B3"/>
    </sheetView>
  </sheetViews>
  <sheetFormatPr defaultRowHeight="14.4" x14ac:dyDescent="0.3"/>
  <cols>
    <col min="2" max="2" width="46.88671875" bestFit="1" customWidth="1"/>
    <col min="3" max="3" width="4.109375" bestFit="1" customWidth="1"/>
    <col min="4" max="4" width="3.5546875" bestFit="1" customWidth="1"/>
    <col min="5" max="5" width="4.109375" bestFit="1" customWidth="1"/>
    <col min="6" max="7" width="4.5546875" bestFit="1" customWidth="1"/>
    <col min="8" max="12" width="4.109375" bestFit="1" customWidth="1"/>
    <col min="13" max="13" width="3.5546875" bestFit="1" customWidth="1"/>
    <col min="14" max="15" width="4.109375" bestFit="1" customWidth="1"/>
  </cols>
  <sheetData>
    <row r="1" spans="1:21" x14ac:dyDescent="0.3">
      <c r="A1" s="108" t="s">
        <v>0</v>
      </c>
    </row>
    <row r="2" spans="1:21" x14ac:dyDescent="0.3">
      <c r="B2" s="200" t="s">
        <v>408</v>
      </c>
      <c r="C2" s="200"/>
      <c r="D2" s="200"/>
      <c r="E2" s="200"/>
      <c r="F2" s="200"/>
      <c r="G2" s="200"/>
      <c r="H2" s="200"/>
      <c r="I2" s="200"/>
      <c r="J2" s="200"/>
      <c r="K2" s="200"/>
      <c r="L2" s="200"/>
      <c r="M2" s="200"/>
      <c r="N2" s="200"/>
      <c r="O2" s="200"/>
    </row>
    <row r="3" spans="1:21" ht="93" customHeight="1" x14ac:dyDescent="0.3">
      <c r="B3" s="161"/>
      <c r="C3" s="164" t="s">
        <v>90</v>
      </c>
      <c r="D3" s="164" t="s">
        <v>91</v>
      </c>
      <c r="E3" s="164" t="s">
        <v>92</v>
      </c>
      <c r="F3" s="164" t="s">
        <v>93</v>
      </c>
      <c r="G3" s="164" t="s">
        <v>94</v>
      </c>
      <c r="H3" s="164" t="s">
        <v>95</v>
      </c>
      <c r="I3" s="164" t="s">
        <v>96</v>
      </c>
      <c r="J3" s="164" t="s">
        <v>97</v>
      </c>
      <c r="K3" s="164" t="s">
        <v>99</v>
      </c>
      <c r="L3" s="164" t="s">
        <v>126</v>
      </c>
      <c r="M3" s="164" t="s">
        <v>100</v>
      </c>
      <c r="N3" s="164" t="s">
        <v>127</v>
      </c>
      <c r="O3" s="164" t="s">
        <v>101</v>
      </c>
      <c r="Q3" s="161" t="s">
        <v>409</v>
      </c>
      <c r="R3" s="161" t="s">
        <v>409</v>
      </c>
      <c r="S3" s="161" t="s">
        <v>409</v>
      </c>
      <c r="T3" s="161" t="s">
        <v>409</v>
      </c>
      <c r="U3" s="161" t="s">
        <v>409</v>
      </c>
    </row>
    <row r="4" spans="1:21" ht="27.6" x14ac:dyDescent="0.3">
      <c r="B4" s="201" t="s">
        <v>410</v>
      </c>
      <c r="C4" s="202"/>
      <c r="D4" s="202"/>
      <c r="E4" s="202"/>
      <c r="F4" s="202"/>
      <c r="G4" s="202"/>
      <c r="H4" s="202"/>
      <c r="I4" s="202"/>
      <c r="J4" s="202"/>
      <c r="K4" s="202"/>
      <c r="L4" s="202"/>
      <c r="M4" s="202"/>
      <c r="N4" s="202"/>
      <c r="O4" s="203"/>
      <c r="Q4" s="162" t="s">
        <v>411</v>
      </c>
      <c r="R4" s="162" t="s">
        <v>411</v>
      </c>
      <c r="S4" s="162" t="s">
        <v>411</v>
      </c>
      <c r="T4" s="162" t="s">
        <v>411</v>
      </c>
      <c r="U4" s="162" t="s">
        <v>411</v>
      </c>
    </row>
    <row r="5" spans="1:21" x14ac:dyDescent="0.3">
      <c r="B5" s="31" t="s">
        <v>189</v>
      </c>
      <c r="C5" s="92">
        <v>6.2295441538551</v>
      </c>
      <c r="D5" s="92">
        <v>1.2351246917822201</v>
      </c>
      <c r="E5" s="92">
        <v>-1.48027101300841</v>
      </c>
      <c r="F5" s="92">
        <v>-2.40762091832161</v>
      </c>
      <c r="G5" s="92">
        <v>1.0531854319865599</v>
      </c>
      <c r="H5" s="92">
        <v>-3.7772707335729199</v>
      </c>
      <c r="I5" s="92">
        <v>-1.8635280757466</v>
      </c>
      <c r="J5" s="92">
        <v>0.110556279256246</v>
      </c>
      <c r="K5" s="92">
        <v>-0.29283960307691098</v>
      </c>
      <c r="L5" s="92"/>
      <c r="M5" s="92">
        <v>2.6812584969502899</v>
      </c>
      <c r="N5" s="92">
        <v>-1.1815490072872099</v>
      </c>
      <c r="O5" s="92">
        <v>-3.0154172376397401</v>
      </c>
      <c r="Q5" s="163" t="s">
        <v>412</v>
      </c>
      <c r="R5" s="163" t="s">
        <v>412</v>
      </c>
      <c r="S5" s="163" t="s">
        <v>412</v>
      </c>
      <c r="T5" s="163" t="s">
        <v>412</v>
      </c>
      <c r="U5" s="163" t="s">
        <v>412</v>
      </c>
    </row>
    <row r="6" spans="1:21" x14ac:dyDescent="0.3">
      <c r="B6" s="31" t="s">
        <v>186</v>
      </c>
      <c r="C6" s="92">
        <v>1.1704382959534001</v>
      </c>
      <c r="D6" s="92">
        <v>0.13762567275135101</v>
      </c>
      <c r="E6" s="92">
        <v>0.20541887888354499</v>
      </c>
      <c r="F6" s="92">
        <v>2.7639955465249999</v>
      </c>
      <c r="G6" s="92">
        <v>11.864547758680001</v>
      </c>
      <c r="H6" s="92">
        <v>3.30050095813057</v>
      </c>
      <c r="I6" s="92">
        <v>5.8193519133805403</v>
      </c>
      <c r="J6" s="92">
        <v>0.64430702800308803</v>
      </c>
      <c r="K6" s="92">
        <v>0.324506262937518</v>
      </c>
      <c r="L6" s="92"/>
      <c r="M6" s="92">
        <v>4.5790620150613996</v>
      </c>
      <c r="N6" s="92">
        <v>6.1281501665516798</v>
      </c>
      <c r="O6" s="92">
        <v>-3.1085189531383302</v>
      </c>
      <c r="Q6" s="163" t="s">
        <v>412</v>
      </c>
      <c r="R6" s="163" t="s">
        <v>412</v>
      </c>
      <c r="S6" s="163" t="s">
        <v>412</v>
      </c>
      <c r="T6" s="163" t="s">
        <v>412</v>
      </c>
      <c r="U6" s="163" t="s">
        <v>412</v>
      </c>
    </row>
    <row r="7" spans="1:21" x14ac:dyDescent="0.3">
      <c r="B7" s="31" t="s">
        <v>179</v>
      </c>
      <c r="C7" s="92">
        <v>3.8382774896926102</v>
      </c>
      <c r="D7" s="92">
        <v>7.6811221610652503</v>
      </c>
      <c r="E7" s="92">
        <v>3.2804277767425098</v>
      </c>
      <c r="F7" s="92">
        <v>4.84372914484159</v>
      </c>
      <c r="G7" s="92">
        <v>15.1708387552607</v>
      </c>
      <c r="H7" s="92">
        <v>5.03052410901768</v>
      </c>
      <c r="I7" s="92">
        <v>4.3331851078578696</v>
      </c>
      <c r="J7" s="92">
        <v>6.0048494597394502</v>
      </c>
      <c r="K7" s="92">
        <v>3.3513833559053698</v>
      </c>
      <c r="L7" s="92"/>
      <c r="M7" s="92">
        <v>0.54744830752666596</v>
      </c>
      <c r="N7" s="92">
        <v>4.4707608239181296</v>
      </c>
      <c r="O7" s="92">
        <v>0.67031737256406698</v>
      </c>
      <c r="Q7" s="163" t="s">
        <v>412</v>
      </c>
      <c r="R7" s="163" t="s">
        <v>412</v>
      </c>
      <c r="S7" s="163" t="s">
        <v>412</v>
      </c>
      <c r="T7" s="163" t="s">
        <v>412</v>
      </c>
      <c r="U7" s="163" t="s">
        <v>412</v>
      </c>
    </row>
    <row r="8" spans="1:21" x14ac:dyDescent="0.3">
      <c r="B8" s="31" t="s">
        <v>413</v>
      </c>
      <c r="C8" s="92">
        <v>2.3645869656054201</v>
      </c>
      <c r="D8" s="92">
        <v>6.6442713945102003</v>
      </c>
      <c r="E8" s="92">
        <v>1.44907612911758</v>
      </c>
      <c r="F8" s="92">
        <v>1.4250381930946301</v>
      </c>
      <c r="G8" s="92">
        <v>1.3007322262919201</v>
      </c>
      <c r="H8" s="92">
        <v>1.96252085082949</v>
      </c>
      <c r="I8" s="92">
        <v>2.5392662101940902</v>
      </c>
      <c r="J8" s="92">
        <v>-6.9608522477182494E-2</v>
      </c>
      <c r="K8" s="92">
        <v>2.50484829062998</v>
      </c>
      <c r="L8" s="92"/>
      <c r="M8" s="92">
        <v>1.95677615950072</v>
      </c>
      <c r="N8" s="92">
        <v>1.3020432759254901</v>
      </c>
      <c r="O8" s="92">
        <v>3.8962528569475001</v>
      </c>
      <c r="Q8" s="163" t="s">
        <v>412</v>
      </c>
      <c r="R8" s="163" t="s">
        <v>412</v>
      </c>
      <c r="S8" s="163" t="s">
        <v>412</v>
      </c>
      <c r="T8" s="163" t="s">
        <v>412</v>
      </c>
      <c r="U8" s="163" t="s">
        <v>412</v>
      </c>
    </row>
    <row r="9" spans="1:21" x14ac:dyDescent="0.3">
      <c r="B9" s="31" t="s">
        <v>184</v>
      </c>
      <c r="C9" s="92">
        <v>0.68816798294930603</v>
      </c>
      <c r="D9" s="92">
        <v>2.45391341625223</v>
      </c>
      <c r="E9" s="92">
        <v>-6.9966277783883896E-2</v>
      </c>
      <c r="F9" s="92">
        <v>0.116755795358037</v>
      </c>
      <c r="G9" s="92">
        <v>0.85597641432599803</v>
      </c>
      <c r="H9" s="92">
        <v>-0.52403227083186499</v>
      </c>
      <c r="I9" s="92">
        <v>3.5145143607201201</v>
      </c>
      <c r="J9" s="92">
        <v>1.6139146581080701</v>
      </c>
      <c r="K9" s="92">
        <v>1.7772562461978001</v>
      </c>
      <c r="L9" s="92"/>
      <c r="M9" s="92">
        <v>1.1777218373554901</v>
      </c>
      <c r="N9" s="92">
        <v>6.71860658567733</v>
      </c>
      <c r="O9" s="92">
        <v>0.84522705507057405</v>
      </c>
      <c r="Q9" s="163" t="s">
        <v>412</v>
      </c>
      <c r="R9" s="163" t="s">
        <v>412</v>
      </c>
      <c r="S9" s="163" t="s">
        <v>412</v>
      </c>
      <c r="T9" s="163" t="s">
        <v>412</v>
      </c>
      <c r="U9" s="163" t="s">
        <v>412</v>
      </c>
    </row>
    <row r="10" spans="1:21" x14ac:dyDescent="0.3">
      <c r="B10" s="31" t="s">
        <v>176</v>
      </c>
      <c r="C10" s="92">
        <v>2.8504562346643301</v>
      </c>
      <c r="D10" s="92">
        <v>5.5006627758914304</v>
      </c>
      <c r="E10" s="92">
        <v>3.4216870428770898</v>
      </c>
      <c r="F10" s="92">
        <v>5.0422504460680804</v>
      </c>
      <c r="G10" s="92">
        <v>7.4402711108300501</v>
      </c>
      <c r="H10" s="92">
        <v>2.4066647993736998</v>
      </c>
      <c r="I10" s="92">
        <v>2.4541073439599201</v>
      </c>
      <c r="J10" s="92">
        <v>3.3740387277342099</v>
      </c>
      <c r="K10" s="92">
        <v>2.6998453656469401</v>
      </c>
      <c r="L10" s="92"/>
      <c r="M10" s="92">
        <v>2.0541538320771902</v>
      </c>
      <c r="N10" s="92">
        <v>7.1339398634240299E-3</v>
      </c>
      <c r="O10" s="92">
        <v>-2.43902743144749</v>
      </c>
      <c r="Q10" s="163" t="s">
        <v>412</v>
      </c>
      <c r="R10" s="163" t="s">
        <v>412</v>
      </c>
      <c r="S10" s="163" t="s">
        <v>412</v>
      </c>
      <c r="T10" s="163" t="s">
        <v>412</v>
      </c>
      <c r="U10" s="163" t="s">
        <v>412</v>
      </c>
    </row>
    <row r="11" spans="1:21" x14ac:dyDescent="0.3">
      <c r="B11" s="31" t="s">
        <v>414</v>
      </c>
      <c r="C11" s="92">
        <v>2.76333811856269</v>
      </c>
      <c r="D11" s="92">
        <v>4.6229104450123302</v>
      </c>
      <c r="E11" s="92">
        <v>3.160270689801</v>
      </c>
      <c r="F11" s="92">
        <v>3.49761813126814</v>
      </c>
      <c r="G11" s="92">
        <v>5.8365084417693502</v>
      </c>
      <c r="H11" s="92">
        <v>3.7204330893089401</v>
      </c>
      <c r="I11" s="92">
        <v>-0.49000824134555199</v>
      </c>
      <c r="J11" s="92">
        <v>4.9022493282093098</v>
      </c>
      <c r="K11" s="92">
        <v>3.4252909114833399</v>
      </c>
      <c r="L11" s="92"/>
      <c r="M11" s="92">
        <v>1.65137395413979</v>
      </c>
      <c r="N11" s="92">
        <v>6.2172484643781898</v>
      </c>
      <c r="O11" s="92">
        <v>-3.1262509835213601</v>
      </c>
      <c r="Q11" s="163" t="s">
        <v>412</v>
      </c>
      <c r="R11" s="163" t="s">
        <v>412</v>
      </c>
      <c r="S11" s="163" t="s">
        <v>412</v>
      </c>
      <c r="T11" s="163" t="s">
        <v>412</v>
      </c>
      <c r="U11" s="163" t="s">
        <v>412</v>
      </c>
    </row>
    <row r="12" spans="1:21" x14ac:dyDescent="0.3">
      <c r="B12" s="31" t="s">
        <v>374</v>
      </c>
      <c r="C12" s="92">
        <v>0.40381046467183901</v>
      </c>
      <c r="D12" s="92">
        <v>7.46148572146046</v>
      </c>
      <c r="E12" s="92">
        <v>1.0970790948220399</v>
      </c>
      <c r="F12" s="92">
        <v>-0.21258876096516</v>
      </c>
      <c r="G12" s="92">
        <v>0.35910758074557703</v>
      </c>
      <c r="H12" s="92">
        <v>1.55333935528241</v>
      </c>
      <c r="I12" s="92">
        <v>0.83720662871418206</v>
      </c>
      <c r="J12" s="92">
        <v>2.3355881133116698</v>
      </c>
      <c r="K12" s="92">
        <v>2.00085475344896</v>
      </c>
      <c r="L12" s="92"/>
      <c r="M12" s="92">
        <v>0.84053971941151495</v>
      </c>
      <c r="N12" s="92">
        <v>0.355083233498732</v>
      </c>
      <c r="O12" s="92">
        <v>-2.8317773027306998</v>
      </c>
      <c r="Q12" s="163" t="s">
        <v>412</v>
      </c>
      <c r="R12" s="163" t="s">
        <v>412</v>
      </c>
      <c r="S12" s="163" t="s">
        <v>412</v>
      </c>
      <c r="T12" s="163" t="s">
        <v>412</v>
      </c>
      <c r="U12" s="163" t="s">
        <v>412</v>
      </c>
    </row>
    <row r="13" spans="1:21" x14ac:dyDescent="0.3">
      <c r="B13" s="31" t="s">
        <v>415</v>
      </c>
      <c r="C13" s="92">
        <v>-0.112016315479047</v>
      </c>
      <c r="D13" s="92">
        <v>7.0014105979849397</v>
      </c>
      <c r="E13" s="92">
        <v>-0.55766641977631504</v>
      </c>
      <c r="F13" s="92">
        <v>-6.7002438911121596</v>
      </c>
      <c r="G13" s="92">
        <v>9.88132600772804</v>
      </c>
      <c r="H13" s="92">
        <v>0.105688771646717</v>
      </c>
      <c r="I13" s="92">
        <v>-0.79693690826863095</v>
      </c>
      <c r="J13" s="92">
        <v>7.6417414499601897</v>
      </c>
      <c r="K13" s="92">
        <v>0.42416753865530699</v>
      </c>
      <c r="L13" s="92"/>
      <c r="M13" s="92">
        <v>3.96492423732977</v>
      </c>
      <c r="N13" s="92">
        <v>5.55172915748952</v>
      </c>
      <c r="O13" s="92">
        <v>-2.6992613727149299</v>
      </c>
      <c r="Q13" s="163" t="s">
        <v>412</v>
      </c>
      <c r="R13" s="163" t="s">
        <v>412</v>
      </c>
      <c r="S13" s="163" t="s">
        <v>412</v>
      </c>
      <c r="T13" s="163" t="s">
        <v>412</v>
      </c>
      <c r="U13" s="163" t="s">
        <v>412</v>
      </c>
    </row>
    <row r="14" spans="1:21" x14ac:dyDescent="0.3">
      <c r="B14" s="201" t="s">
        <v>191</v>
      </c>
      <c r="C14" s="202"/>
      <c r="D14" s="202"/>
      <c r="E14" s="202"/>
      <c r="F14" s="202"/>
      <c r="G14" s="202"/>
      <c r="H14" s="202"/>
      <c r="I14" s="202"/>
      <c r="J14" s="202"/>
      <c r="K14" s="202"/>
      <c r="L14" s="202"/>
      <c r="M14" s="202"/>
      <c r="N14" s="202"/>
      <c r="O14" s="203"/>
      <c r="Q14" s="163" t="s">
        <v>412</v>
      </c>
      <c r="R14" s="163" t="s">
        <v>412</v>
      </c>
      <c r="S14" s="163" t="s">
        <v>412</v>
      </c>
      <c r="T14" s="163" t="s">
        <v>412</v>
      </c>
      <c r="U14" s="163" t="s">
        <v>412</v>
      </c>
    </row>
    <row r="15" spans="1:21" x14ac:dyDescent="0.3">
      <c r="B15" s="31" t="s">
        <v>240</v>
      </c>
      <c r="C15" s="92">
        <v>2.6673876666626799</v>
      </c>
      <c r="D15" s="92">
        <v>5.7288580005543999</v>
      </c>
      <c r="E15" s="92">
        <v>1.71616787382372</v>
      </c>
      <c r="F15" s="92">
        <v>2.4271576691800001</v>
      </c>
      <c r="G15" s="92">
        <v>6.6738177752098302</v>
      </c>
      <c r="H15" s="92">
        <v>3.013293135364</v>
      </c>
      <c r="I15" s="92">
        <v>2.6849959361146398</v>
      </c>
      <c r="J15" s="92">
        <v>1.43048539652912</v>
      </c>
      <c r="K15" s="92">
        <v>2.8490391183404902</v>
      </c>
      <c r="L15" s="92">
        <v>1.17285531206421</v>
      </c>
      <c r="M15" s="92">
        <v>2.3299274560304899</v>
      </c>
      <c r="N15" s="92">
        <v>2.5507049975706901</v>
      </c>
      <c r="O15" s="92">
        <v>-0.99880787318289399</v>
      </c>
      <c r="Q15" s="163" t="s">
        <v>412</v>
      </c>
      <c r="R15" s="163" t="s">
        <v>412</v>
      </c>
      <c r="S15" s="163" t="s">
        <v>412</v>
      </c>
      <c r="T15" s="163" t="s">
        <v>412</v>
      </c>
      <c r="U15" s="163" t="s">
        <v>412</v>
      </c>
    </row>
    <row r="16" spans="1:21" x14ac:dyDescent="0.3">
      <c r="B16" s="31" t="s">
        <v>239</v>
      </c>
      <c r="C16" s="92">
        <v>1.5133857374396</v>
      </c>
      <c r="D16" s="92">
        <v>3.3277829938080501</v>
      </c>
      <c r="E16" s="92">
        <v>1.27937762564869</v>
      </c>
      <c r="F16" s="92">
        <v>1.15524289882236</v>
      </c>
      <c r="G16" s="92">
        <v>2.76547011754396</v>
      </c>
      <c r="H16" s="92">
        <v>0.77932150115913601</v>
      </c>
      <c r="I16" s="92">
        <v>1.35335952952917</v>
      </c>
      <c r="J16" s="92">
        <v>1.5203019241764499</v>
      </c>
      <c r="K16" s="92">
        <v>1.4234611059909901</v>
      </c>
      <c r="L16" s="92">
        <v>0.99913645083147296</v>
      </c>
      <c r="M16" s="92">
        <v>1.28128304537347</v>
      </c>
      <c r="N16" s="92">
        <v>1.52126636457524</v>
      </c>
      <c r="O16" s="92">
        <v>-1.2573522589998099E-2</v>
      </c>
      <c r="Q16" s="163" t="s">
        <v>412</v>
      </c>
      <c r="R16" s="163" t="s">
        <v>412</v>
      </c>
      <c r="S16" s="163" t="s">
        <v>412</v>
      </c>
      <c r="T16" s="163" t="s">
        <v>412</v>
      </c>
      <c r="U16" s="163" t="s">
        <v>412</v>
      </c>
    </row>
    <row r="17" spans="2:21" x14ac:dyDescent="0.3">
      <c r="B17" s="201" t="s">
        <v>151</v>
      </c>
      <c r="C17" s="202"/>
      <c r="D17" s="202"/>
      <c r="E17" s="202"/>
      <c r="F17" s="202"/>
      <c r="G17" s="202"/>
      <c r="H17" s="202"/>
      <c r="I17" s="202"/>
      <c r="J17" s="202"/>
      <c r="K17" s="202"/>
      <c r="L17" s="202"/>
      <c r="M17" s="202"/>
      <c r="N17" s="202"/>
      <c r="O17" s="203"/>
      <c r="Q17" s="163" t="s">
        <v>412</v>
      </c>
      <c r="R17" s="163" t="s">
        <v>412</v>
      </c>
      <c r="S17" s="163" t="s">
        <v>412</v>
      </c>
      <c r="T17" s="163" t="s">
        <v>412</v>
      </c>
      <c r="U17" s="163" t="s">
        <v>412</v>
      </c>
    </row>
    <row r="18" spans="2:21" x14ac:dyDescent="0.3">
      <c r="B18" s="31" t="s">
        <v>153</v>
      </c>
      <c r="C18" s="92">
        <v>-0.53065046228308899</v>
      </c>
      <c r="D18" s="92">
        <v>1.8932299536814901</v>
      </c>
      <c r="E18" s="92">
        <v>-2.3069873875609002</v>
      </c>
      <c r="F18" s="92">
        <v>-4.9516037379295099</v>
      </c>
      <c r="G18" s="92">
        <v>-0.99579607421635996</v>
      </c>
      <c r="H18" s="92">
        <v>-1.7953266637657499</v>
      </c>
      <c r="I18" s="92">
        <v>-0.48083985763005499</v>
      </c>
      <c r="J18" s="92">
        <v>0.275896763940842</v>
      </c>
      <c r="K18" s="92">
        <v>-5.5793915666946199E-2</v>
      </c>
      <c r="L18" s="92">
        <v>-0.75174428660961201</v>
      </c>
      <c r="M18" s="92">
        <v>1.5984462230519201</v>
      </c>
      <c r="N18" s="92">
        <v>1.45061128647344</v>
      </c>
      <c r="O18" s="92">
        <v>-2.7284009765696902</v>
      </c>
      <c r="Q18" s="163" t="s">
        <v>412</v>
      </c>
      <c r="R18" s="163" t="s">
        <v>412</v>
      </c>
      <c r="S18" s="163" t="s">
        <v>412</v>
      </c>
      <c r="T18" s="163" t="s">
        <v>412</v>
      </c>
      <c r="U18" s="163" t="s">
        <v>412</v>
      </c>
    </row>
    <row r="19" spans="2:21" x14ac:dyDescent="0.3">
      <c r="B19" s="31" t="s">
        <v>154</v>
      </c>
      <c r="C19" s="92">
        <v>3.1846436718530899</v>
      </c>
      <c r="D19" s="92">
        <v>7.0383915664611303</v>
      </c>
      <c r="E19" s="92">
        <v>3.15758891172031</v>
      </c>
      <c r="F19" s="92">
        <v>2.1004611451839401</v>
      </c>
      <c r="G19" s="92">
        <v>3.5413021343089</v>
      </c>
      <c r="H19" s="92">
        <v>5.3967991782611504</v>
      </c>
      <c r="I19" s="92">
        <v>5.0161411580929496</v>
      </c>
      <c r="J19" s="92">
        <v>2.2356914317619401</v>
      </c>
      <c r="K19" s="92">
        <v>4.06763044218639</v>
      </c>
      <c r="L19" s="92">
        <v>3.70869297581757</v>
      </c>
      <c r="M19" s="92">
        <v>1.22588621345516</v>
      </c>
      <c r="N19" s="92">
        <v>1.39948179971299</v>
      </c>
      <c r="O19" s="92">
        <v>0.53502660683508696</v>
      </c>
      <c r="Q19" s="163" t="s">
        <v>412</v>
      </c>
      <c r="R19" s="163" t="s">
        <v>412</v>
      </c>
      <c r="S19" s="163" t="s">
        <v>412</v>
      </c>
      <c r="T19" s="163" t="s">
        <v>412</v>
      </c>
      <c r="U19" s="163" t="s">
        <v>412</v>
      </c>
    </row>
    <row r="20" spans="2:21" x14ac:dyDescent="0.3">
      <c r="B20" s="31" t="s">
        <v>155</v>
      </c>
      <c r="C20" s="92">
        <v>3.5626426818415</v>
      </c>
      <c r="D20" s="92">
        <v>7.6950960787016003</v>
      </c>
      <c r="E20" s="92">
        <v>5.3628330380326696</v>
      </c>
      <c r="F20" s="92">
        <v>10.2757169861066</v>
      </c>
      <c r="G20" s="92">
        <v>13.106024436874</v>
      </c>
      <c r="H20" s="92">
        <v>5.0703560624038699</v>
      </c>
      <c r="I20" s="92">
        <v>3.5212784078386199</v>
      </c>
      <c r="J20" s="92">
        <v>3.6612963893516399</v>
      </c>
      <c r="K20" s="92">
        <v>5.6337615977773101</v>
      </c>
      <c r="L20" s="92">
        <v>1.06462997729178</v>
      </c>
      <c r="M20" s="92">
        <v>2.6559779038376501</v>
      </c>
      <c r="N20" s="92">
        <v>8.2118290970578691</v>
      </c>
      <c r="O20" s="92">
        <v>6.0762879113165997</v>
      </c>
    </row>
  </sheetData>
  <mergeCells count="4">
    <mergeCell ref="B2:O2"/>
    <mergeCell ref="B4:O4"/>
    <mergeCell ref="B14:O14"/>
    <mergeCell ref="B17:O17"/>
  </mergeCells>
  <hyperlinks>
    <hyperlink ref="A1" location="Index!A1" display="'Index" xr:uid="{CF63F378-FF11-4DDE-9746-CBC1B5FC7855}"/>
  </hyperlinks>
  <pageMargins left="0.7" right="0.7" top="0.75" bottom="0.75" header="0.3" footer="0.3"/>
  <pageSetup orientation="portrait" r:id="rId1"/>
  <headerFooter>
    <oddFooter>&amp;R_x000D_&amp;1#&amp;"Calibri"&amp;10&amp;K000000 Official Use Only</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505F2-DDBD-4A8A-8A84-44484850C1BA}">
  <dimension ref="A1:O20"/>
  <sheetViews>
    <sheetView showGridLines="0" workbookViewId="0">
      <selection activeCell="B3" sqref="B3:O20"/>
    </sheetView>
  </sheetViews>
  <sheetFormatPr defaultRowHeight="14.4" x14ac:dyDescent="0.3"/>
  <cols>
    <col min="2" max="2" width="46.88671875" customWidth="1"/>
    <col min="3" max="15" width="4.109375" bestFit="1" customWidth="1"/>
  </cols>
  <sheetData>
    <row r="1" spans="1:15" x14ac:dyDescent="0.3">
      <c r="A1" s="108" t="s">
        <v>0</v>
      </c>
    </row>
    <row r="2" spans="1:15" x14ac:dyDescent="0.3">
      <c r="B2" s="204" t="s">
        <v>416</v>
      </c>
      <c r="C2" s="204"/>
      <c r="D2" s="204"/>
      <c r="E2" s="204"/>
      <c r="F2" s="204"/>
      <c r="G2" s="204"/>
      <c r="H2" s="204"/>
      <c r="I2" s="204"/>
      <c r="J2" s="204"/>
      <c r="K2" s="204"/>
      <c r="L2" s="204"/>
      <c r="M2" s="204"/>
      <c r="N2" s="204"/>
      <c r="O2" s="204"/>
    </row>
    <row r="3" spans="1:15" ht="93" x14ac:dyDescent="0.3">
      <c r="B3" s="165"/>
      <c r="C3" s="164" t="s">
        <v>90</v>
      </c>
      <c r="D3" s="164" t="s">
        <v>91</v>
      </c>
      <c r="E3" s="164" t="s">
        <v>92</v>
      </c>
      <c r="F3" s="164" t="s">
        <v>93</v>
      </c>
      <c r="G3" s="164" t="s">
        <v>94</v>
      </c>
      <c r="H3" s="164" t="s">
        <v>95</v>
      </c>
      <c r="I3" s="164" t="s">
        <v>96</v>
      </c>
      <c r="J3" s="164" t="s">
        <v>97</v>
      </c>
      <c r="K3" s="164" t="s">
        <v>99</v>
      </c>
      <c r="L3" s="164" t="s">
        <v>126</v>
      </c>
      <c r="M3" s="164" t="s">
        <v>100</v>
      </c>
      <c r="N3" s="164" t="s">
        <v>127</v>
      </c>
      <c r="O3" s="164" t="s">
        <v>101</v>
      </c>
    </row>
    <row r="4" spans="1:15" x14ac:dyDescent="0.3">
      <c r="B4" s="205" t="s">
        <v>410</v>
      </c>
      <c r="C4" s="205"/>
      <c r="D4" s="205"/>
      <c r="E4" s="205"/>
      <c r="F4" s="205"/>
      <c r="G4" s="205"/>
      <c r="H4" s="205"/>
      <c r="I4" s="205"/>
      <c r="J4" s="205"/>
      <c r="K4" s="205"/>
      <c r="L4" s="205"/>
      <c r="M4" s="205"/>
      <c r="N4" s="205"/>
      <c r="O4" s="205"/>
    </row>
    <row r="5" spans="1:15" x14ac:dyDescent="0.3">
      <c r="B5" s="31" t="s">
        <v>189</v>
      </c>
      <c r="C5" s="92">
        <v>-5.1026019597424703</v>
      </c>
      <c r="D5" s="92">
        <v>-1.66784843900105</v>
      </c>
      <c r="E5" s="92">
        <v>3.06660976062589</v>
      </c>
      <c r="F5" s="92">
        <v>4.0408349726163104</v>
      </c>
      <c r="G5" s="92">
        <v>8.4025168600661893</v>
      </c>
      <c r="H5" s="92">
        <v>0.20096810408176699</v>
      </c>
      <c r="I5" s="92">
        <v>2.0678988697515202</v>
      </c>
      <c r="J5" s="92">
        <v>1.5390945491229999</v>
      </c>
      <c r="K5" s="92">
        <v>2.3132460885625798</v>
      </c>
      <c r="L5" s="92"/>
      <c r="M5" s="92">
        <v>3.41116226849556</v>
      </c>
      <c r="N5" s="92">
        <v>3.1606649592782001</v>
      </c>
      <c r="O5" s="92">
        <v>2.4886367193924599</v>
      </c>
    </row>
    <row r="6" spans="1:15" x14ac:dyDescent="0.3">
      <c r="B6" s="31" t="s">
        <v>186</v>
      </c>
      <c r="C6" s="92">
        <v>-4.6504982313055399</v>
      </c>
      <c r="D6" s="92">
        <v>0.90072242669880798</v>
      </c>
      <c r="E6" s="92">
        <v>0.72685124022482395</v>
      </c>
      <c r="F6" s="92">
        <v>0.82964985476958697</v>
      </c>
      <c r="G6" s="92">
        <v>0.60617871677701696</v>
      </c>
      <c r="H6" s="92">
        <v>-0.81705585910887302</v>
      </c>
      <c r="I6" s="92">
        <v>1.8496465587950299</v>
      </c>
      <c r="J6" s="92">
        <v>-0.98008044161264096</v>
      </c>
      <c r="K6" s="92">
        <v>0.50705125068111201</v>
      </c>
      <c r="L6" s="92"/>
      <c r="M6" s="92">
        <v>-0.42828108615498001</v>
      </c>
      <c r="N6" s="92">
        <v>0.99379542102051599</v>
      </c>
      <c r="O6" s="92">
        <v>6.4115831415700404</v>
      </c>
    </row>
    <row r="7" spans="1:15" x14ac:dyDescent="0.3">
      <c r="B7" s="31" t="s">
        <v>179</v>
      </c>
      <c r="C7" s="92">
        <v>-3.5017354501142601</v>
      </c>
      <c r="D7" s="92">
        <v>-2.6154235251377802</v>
      </c>
      <c r="E7" s="92">
        <v>0.74459509925870504</v>
      </c>
      <c r="F7" s="92">
        <v>-0.54151933166383104</v>
      </c>
      <c r="G7" s="92">
        <v>3.29933067701353</v>
      </c>
      <c r="H7" s="92">
        <v>-0.154995215217757</v>
      </c>
      <c r="I7" s="92">
        <v>0.59955671045455206</v>
      </c>
      <c r="J7" s="92">
        <v>0.134826660766763</v>
      </c>
      <c r="K7" s="92">
        <v>2.0616451131268798</v>
      </c>
      <c r="L7" s="92"/>
      <c r="M7" s="92">
        <v>-1.5757760837344901</v>
      </c>
      <c r="N7" s="92">
        <v>3.5538935510986698</v>
      </c>
      <c r="O7" s="92">
        <v>6.8717334279424103</v>
      </c>
    </row>
    <row r="8" spans="1:15" x14ac:dyDescent="0.3">
      <c r="B8" s="31" t="s">
        <v>413</v>
      </c>
      <c r="C8" s="92">
        <v>-5.0558600496867303</v>
      </c>
      <c r="D8" s="92">
        <v>-1.8359165249196501</v>
      </c>
      <c r="E8" s="92">
        <v>1.12327143108149</v>
      </c>
      <c r="F8" s="92">
        <v>0.952197402768729</v>
      </c>
      <c r="G8" s="92">
        <v>6.8348589411062903</v>
      </c>
      <c r="H8" s="92">
        <v>-1.3810649787854601</v>
      </c>
      <c r="I8" s="92">
        <v>9.4107128946951904E-2</v>
      </c>
      <c r="J8" s="92">
        <v>1.7664294112116099</v>
      </c>
      <c r="K8" s="92">
        <v>1.75496231071153</v>
      </c>
      <c r="L8" s="92"/>
      <c r="M8" s="92">
        <v>-1.30069020145658</v>
      </c>
      <c r="N8" s="92">
        <v>1.87447598909534</v>
      </c>
      <c r="O8" s="92">
        <v>4.3705378554188803</v>
      </c>
    </row>
    <row r="9" spans="1:15" x14ac:dyDescent="0.3">
      <c r="B9" s="31" t="s">
        <v>184</v>
      </c>
      <c r="C9" s="92">
        <v>-4.5286415855006403</v>
      </c>
      <c r="D9" s="92">
        <v>-0.90338273062708896</v>
      </c>
      <c r="E9" s="92">
        <v>-0.20840328886348999</v>
      </c>
      <c r="F9" s="92">
        <v>0.67924856278631696</v>
      </c>
      <c r="G9" s="92">
        <v>5.6456610240079597</v>
      </c>
      <c r="H9" s="92">
        <v>1.8616648377343099</v>
      </c>
      <c r="I9" s="92">
        <v>2.1180127115818999</v>
      </c>
      <c r="J9" s="92">
        <v>5.3194702981998399</v>
      </c>
      <c r="K9" s="92">
        <v>2.0509358970585101</v>
      </c>
      <c r="L9" s="92"/>
      <c r="M9" s="92">
        <v>-1.93885889965285</v>
      </c>
      <c r="N9" s="92">
        <v>5.1253838570291199</v>
      </c>
      <c r="O9" s="92">
        <v>-3.3887394253087599</v>
      </c>
    </row>
    <row r="10" spans="1:15" x14ac:dyDescent="0.3">
      <c r="B10" s="31" t="s">
        <v>176</v>
      </c>
      <c r="C10" s="92">
        <v>-4.6336992228958804</v>
      </c>
      <c r="D10" s="92">
        <v>0.268884145428605</v>
      </c>
      <c r="E10" s="92">
        <v>1.2253413064101</v>
      </c>
      <c r="F10" s="92">
        <v>0.166764764100713</v>
      </c>
      <c r="G10" s="92">
        <v>2.6792264084609401</v>
      </c>
      <c r="H10" s="92">
        <v>-1.1913627527077999</v>
      </c>
      <c r="I10" s="92">
        <v>-0.39479934284805102</v>
      </c>
      <c r="J10" s="92">
        <v>0.95758182783745005</v>
      </c>
      <c r="K10" s="92">
        <v>0.76279916060741904</v>
      </c>
      <c r="L10" s="92"/>
      <c r="M10" s="92">
        <v>-1.9428313991554098E-2</v>
      </c>
      <c r="N10" s="92">
        <v>1.8371887082993199</v>
      </c>
      <c r="O10" s="92">
        <v>2.0834719806639601</v>
      </c>
    </row>
    <row r="11" spans="1:15" x14ac:dyDescent="0.3">
      <c r="B11" s="31" t="s">
        <v>414</v>
      </c>
      <c r="C11" s="92">
        <v>-4.4601483519716201</v>
      </c>
      <c r="D11" s="92">
        <v>-1.80499521115673</v>
      </c>
      <c r="E11" s="92">
        <v>1.32894202161622</v>
      </c>
      <c r="F11" s="92">
        <v>2.3567412791045501</v>
      </c>
      <c r="G11" s="92">
        <v>7.9501962412989799</v>
      </c>
      <c r="H11" s="92">
        <v>2.5536245709899301</v>
      </c>
      <c r="I11" s="92">
        <v>-0.36005167827569701</v>
      </c>
      <c r="J11" s="92">
        <v>3.4455507447939602</v>
      </c>
      <c r="K11" s="92">
        <v>1.7763957566050901</v>
      </c>
      <c r="L11" s="92"/>
      <c r="M11" s="92">
        <v>-1.94509598444277</v>
      </c>
      <c r="N11" s="92">
        <v>1.64248517610397</v>
      </c>
      <c r="O11" s="92">
        <v>8.8039753951779005</v>
      </c>
    </row>
    <row r="12" spans="1:15" x14ac:dyDescent="0.3">
      <c r="B12" s="31" t="s">
        <v>374</v>
      </c>
      <c r="C12" s="92">
        <v>-5.9863134921522496</v>
      </c>
      <c r="D12" s="92">
        <v>-1.46102314548197</v>
      </c>
      <c r="E12" s="92">
        <v>0.37516979745271201</v>
      </c>
      <c r="F12" s="92">
        <v>-4.31114044362024E-2</v>
      </c>
      <c r="G12" s="92">
        <v>1.88590914177145</v>
      </c>
      <c r="H12" s="92">
        <v>-0.43194429854072097</v>
      </c>
      <c r="I12" s="92">
        <v>4.6550833364486799</v>
      </c>
      <c r="J12" s="92">
        <v>4.8891526500051796</v>
      </c>
      <c r="K12" s="92">
        <v>2.1074571436869198</v>
      </c>
      <c r="L12" s="92"/>
      <c r="M12" s="92">
        <v>-1.84630764443521</v>
      </c>
      <c r="N12" s="92">
        <v>2.3109777280920101</v>
      </c>
      <c r="O12" s="92">
        <v>5.1798950557767203</v>
      </c>
    </row>
    <row r="13" spans="1:15" x14ac:dyDescent="0.3">
      <c r="B13" s="31" t="s">
        <v>415</v>
      </c>
      <c r="C13" s="92">
        <v>-5.5473667454319902</v>
      </c>
      <c r="D13" s="92">
        <v>-7.0215107285254194E-2</v>
      </c>
      <c r="E13" s="92">
        <v>0.21880127242821501</v>
      </c>
      <c r="F13" s="92">
        <v>0.56721226247138401</v>
      </c>
      <c r="G13" s="92">
        <v>-1.95844148503833</v>
      </c>
      <c r="H13" s="92">
        <v>0.100410398044892</v>
      </c>
      <c r="I13" s="92">
        <v>1.71384031175836</v>
      </c>
      <c r="J13" s="92">
        <v>1.34426053553132</v>
      </c>
      <c r="K13" s="92">
        <v>1.4349003870629999</v>
      </c>
      <c r="L13" s="92"/>
      <c r="M13" s="92">
        <v>-0.81722903904791799</v>
      </c>
      <c r="N13" s="92">
        <v>0.54816369231280904</v>
      </c>
      <c r="O13" s="92">
        <v>6.0969040264787999</v>
      </c>
    </row>
    <row r="14" spans="1:15" x14ac:dyDescent="0.3">
      <c r="B14" s="205" t="s">
        <v>191</v>
      </c>
      <c r="C14" s="205"/>
      <c r="D14" s="205"/>
      <c r="E14" s="205"/>
      <c r="F14" s="205"/>
      <c r="G14" s="205"/>
      <c r="H14" s="205"/>
      <c r="I14" s="205"/>
      <c r="J14" s="205"/>
      <c r="K14" s="205"/>
      <c r="L14" s="205"/>
      <c r="M14" s="205"/>
      <c r="N14" s="205"/>
      <c r="O14" s="205"/>
    </row>
    <row r="15" spans="1:15" x14ac:dyDescent="0.3">
      <c r="B15" s="31" t="s">
        <v>240</v>
      </c>
      <c r="C15" s="92">
        <v>-4.55743295981876</v>
      </c>
      <c r="D15" s="92">
        <v>-1.51311658078642</v>
      </c>
      <c r="E15" s="92">
        <v>1.43218436770538</v>
      </c>
      <c r="F15" s="92">
        <v>2.5342706516844999</v>
      </c>
      <c r="G15" s="92">
        <v>3.08845168201402</v>
      </c>
      <c r="H15" s="92">
        <v>-0.17855834851421301</v>
      </c>
      <c r="I15" s="92">
        <v>0.640266024158609</v>
      </c>
      <c r="J15" s="92">
        <v>1.8104831145468601</v>
      </c>
      <c r="K15" s="92">
        <v>1.7021195224888399</v>
      </c>
      <c r="L15" s="92">
        <v>1.4210079575036401</v>
      </c>
      <c r="M15" s="92">
        <v>-1.1452522552095601</v>
      </c>
      <c r="N15" s="92">
        <v>1.60259326929393</v>
      </c>
      <c r="O15" s="92">
        <v>3.65964453634786</v>
      </c>
    </row>
    <row r="16" spans="1:15" x14ac:dyDescent="0.3">
      <c r="B16" s="31" t="s">
        <v>239</v>
      </c>
      <c r="C16" s="92">
        <v>-4.3596917475920796</v>
      </c>
      <c r="D16" s="92">
        <v>-0.65048697216946205</v>
      </c>
      <c r="E16" s="92">
        <v>1.2115343439347701</v>
      </c>
      <c r="F16" s="92">
        <v>0.89754303837723504</v>
      </c>
      <c r="G16" s="92">
        <v>7.6010316275691299</v>
      </c>
      <c r="H16" s="92">
        <v>0.49749341380402901</v>
      </c>
      <c r="I16" s="92">
        <v>1.6215578093665</v>
      </c>
      <c r="J16" s="92">
        <v>2.3371348104991099</v>
      </c>
      <c r="K16" s="92">
        <v>1.9314328988907301</v>
      </c>
      <c r="L16" s="92">
        <v>3.7159236522034602</v>
      </c>
      <c r="M16" s="92">
        <v>-0.98929304896334702</v>
      </c>
      <c r="N16" s="92">
        <v>3.0856091675033599</v>
      </c>
      <c r="O16" s="92">
        <v>3.9408362526063301</v>
      </c>
    </row>
    <row r="17" spans="2:15" x14ac:dyDescent="0.3">
      <c r="B17" s="205" t="s">
        <v>151</v>
      </c>
      <c r="C17" s="205"/>
      <c r="D17" s="205"/>
      <c r="E17" s="205"/>
      <c r="F17" s="205"/>
      <c r="G17" s="205"/>
      <c r="H17" s="205"/>
      <c r="I17" s="205"/>
      <c r="J17" s="205"/>
      <c r="K17" s="205"/>
      <c r="L17" s="205"/>
      <c r="M17" s="205"/>
      <c r="N17" s="205"/>
      <c r="O17" s="205"/>
    </row>
    <row r="18" spans="2:15" x14ac:dyDescent="0.3">
      <c r="B18" s="31" t="s">
        <v>153</v>
      </c>
      <c r="C18" s="92">
        <v>-5.7443612010802498</v>
      </c>
      <c r="D18" s="92">
        <v>-1.87427282810673</v>
      </c>
      <c r="E18" s="92">
        <v>0.76839803127075601</v>
      </c>
      <c r="F18" s="92">
        <v>0.91148557902023297</v>
      </c>
      <c r="G18" s="92">
        <v>0.61026589848651702</v>
      </c>
      <c r="H18" s="92">
        <v>-8.2547553874689997E-2</v>
      </c>
      <c r="I18" s="92">
        <v>1.23642498471523</v>
      </c>
      <c r="J18" s="92">
        <v>3.2461526705568802</v>
      </c>
      <c r="K18" s="92">
        <v>2.0681187302714199</v>
      </c>
      <c r="L18" s="92">
        <v>8.5232786660899702</v>
      </c>
      <c r="M18" s="92">
        <v>-2.3907664902530499</v>
      </c>
      <c r="N18" s="92">
        <v>3.3790231272340399</v>
      </c>
      <c r="O18" s="92">
        <v>1.06963233621027</v>
      </c>
    </row>
    <row r="19" spans="2:15" x14ac:dyDescent="0.3">
      <c r="B19" s="31" t="s">
        <v>154</v>
      </c>
      <c r="C19" s="92">
        <v>-4.9092483736415602</v>
      </c>
      <c r="D19" s="92">
        <v>-2.0192691695276199</v>
      </c>
      <c r="E19" s="92">
        <v>0.138819809709645</v>
      </c>
      <c r="F19" s="92">
        <v>-0.83340718932102298</v>
      </c>
      <c r="G19" s="92">
        <v>2.4936558497519599</v>
      </c>
      <c r="H19" s="92">
        <v>-1.61841964964563</v>
      </c>
      <c r="I19" s="92">
        <v>1.0633757510480499</v>
      </c>
      <c r="J19" s="92">
        <v>1.4488780818836999</v>
      </c>
      <c r="K19" s="92">
        <v>0.92686837181572601</v>
      </c>
      <c r="L19" s="92">
        <v>-0.59181084882291601</v>
      </c>
      <c r="M19" s="92">
        <v>-1.4563560950529799</v>
      </c>
      <c r="N19" s="92">
        <v>1.54311313332705</v>
      </c>
      <c r="O19" s="92">
        <v>4.2249391101806699</v>
      </c>
    </row>
    <row r="20" spans="2:15" x14ac:dyDescent="0.3">
      <c r="B20" s="31" t="s">
        <v>155</v>
      </c>
      <c r="C20" s="92">
        <v>-4.4949451378221497</v>
      </c>
      <c r="D20" s="92">
        <v>0.28802891187782498</v>
      </c>
      <c r="E20" s="92">
        <v>-0.65454247964212797</v>
      </c>
      <c r="F20" s="92">
        <v>-1.83399441626433</v>
      </c>
      <c r="G20" s="92">
        <v>3.3870780601616701</v>
      </c>
      <c r="H20" s="92">
        <v>-1.07023724310583</v>
      </c>
      <c r="I20" s="92">
        <v>-0.13751194227574801</v>
      </c>
      <c r="J20" s="92">
        <v>3.3432611678318999E-2</v>
      </c>
      <c r="K20" s="92">
        <v>-0.68213525455090895</v>
      </c>
      <c r="L20" s="92">
        <v>0.31977163738279302</v>
      </c>
      <c r="M20" s="92">
        <v>-1.0509500680036199</v>
      </c>
      <c r="N20" s="92">
        <v>-1.2897541761729701</v>
      </c>
      <c r="O20" s="92">
        <v>2.9358205455571702</v>
      </c>
    </row>
  </sheetData>
  <mergeCells count="4">
    <mergeCell ref="B2:O2"/>
    <mergeCell ref="B4:O4"/>
    <mergeCell ref="B14:O14"/>
    <mergeCell ref="B17:O17"/>
  </mergeCells>
  <hyperlinks>
    <hyperlink ref="A1" location="Index!A1" display="'Index" xr:uid="{F8A840CB-6D5A-48F7-83E0-B31718104462}"/>
  </hyperlinks>
  <pageMargins left="0.7" right="0.7" top="0.75" bottom="0.75" header="0.3" footer="0.3"/>
  <pageSetup orientation="portrait" r:id="rId1"/>
  <headerFooter>
    <oddFooter>&amp;R_x000D_&amp;1#&amp;"Calibri"&amp;10&amp;K000000 Official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B3284-7F7E-431F-B97C-508AF53FEFD3}">
  <dimension ref="A1:O17"/>
  <sheetViews>
    <sheetView showGridLines="0" workbookViewId="0">
      <selection activeCell="B3" sqref="B3:O17"/>
    </sheetView>
  </sheetViews>
  <sheetFormatPr defaultRowHeight="14.4" x14ac:dyDescent="0.3"/>
  <cols>
    <col min="2" max="2" width="46.88671875" bestFit="1" customWidth="1"/>
    <col min="3" max="5" width="4.109375" bestFit="1" customWidth="1"/>
    <col min="6" max="6" width="5.109375" bestFit="1" customWidth="1"/>
    <col min="7" max="7" width="4.5546875" bestFit="1" customWidth="1"/>
    <col min="8" max="12" width="4.109375" bestFit="1" customWidth="1"/>
    <col min="13" max="13" width="3.5546875" bestFit="1" customWidth="1"/>
    <col min="14" max="14" width="4.109375" bestFit="1" customWidth="1"/>
    <col min="15" max="15" width="4.5546875" bestFit="1" customWidth="1"/>
  </cols>
  <sheetData>
    <row r="1" spans="1:15" x14ac:dyDescent="0.3">
      <c r="A1" s="108" t="s">
        <v>0</v>
      </c>
    </row>
    <row r="2" spans="1:15" x14ac:dyDescent="0.3">
      <c r="B2" s="204" t="s">
        <v>417</v>
      </c>
      <c r="C2" s="204"/>
      <c r="D2" s="204"/>
      <c r="E2" s="204"/>
      <c r="F2" s="204"/>
      <c r="G2" s="204"/>
      <c r="H2" s="204"/>
      <c r="I2" s="204"/>
      <c r="J2" s="204"/>
      <c r="K2" s="204"/>
      <c r="L2" s="204"/>
      <c r="M2" s="204"/>
      <c r="N2" s="204"/>
      <c r="O2" s="204"/>
    </row>
    <row r="3" spans="1:15" ht="93" x14ac:dyDescent="0.3">
      <c r="B3" s="165"/>
      <c r="C3" s="164" t="s">
        <v>90</v>
      </c>
      <c r="D3" s="164" t="s">
        <v>91</v>
      </c>
      <c r="E3" s="164" t="s">
        <v>92</v>
      </c>
      <c r="F3" s="164" t="s">
        <v>93</v>
      </c>
      <c r="G3" s="164" t="s">
        <v>94</v>
      </c>
      <c r="H3" s="164" t="s">
        <v>95</v>
      </c>
      <c r="I3" s="164" t="s">
        <v>96</v>
      </c>
      <c r="J3" s="164" t="s">
        <v>97</v>
      </c>
      <c r="K3" s="164" t="s">
        <v>99</v>
      </c>
      <c r="L3" s="164" t="s">
        <v>126</v>
      </c>
      <c r="M3" s="164" t="s">
        <v>100</v>
      </c>
      <c r="N3" s="164" t="s">
        <v>127</v>
      </c>
      <c r="O3" s="164" t="s">
        <v>101</v>
      </c>
    </row>
    <row r="4" spans="1:15" x14ac:dyDescent="0.3">
      <c r="B4" s="205" t="s">
        <v>410</v>
      </c>
      <c r="C4" s="205"/>
      <c r="D4" s="205"/>
      <c r="E4" s="205"/>
      <c r="F4" s="205"/>
      <c r="G4" s="205"/>
      <c r="H4" s="205"/>
      <c r="I4" s="205"/>
      <c r="J4" s="205"/>
      <c r="K4" s="205"/>
      <c r="L4" s="205"/>
      <c r="M4" s="205"/>
      <c r="N4" s="205"/>
      <c r="O4" s="205"/>
    </row>
    <row r="5" spans="1:15" x14ac:dyDescent="0.3">
      <c r="B5" s="31" t="s">
        <v>189</v>
      </c>
      <c r="C5" s="92">
        <v>5.73354565581523</v>
      </c>
      <c r="D5" s="92">
        <v>-0.101315113136058</v>
      </c>
      <c r="E5" s="92">
        <v>-1.1214949786466799</v>
      </c>
      <c r="F5" s="92">
        <v>-2.40872602365341</v>
      </c>
      <c r="G5" s="92">
        <v>-0.19369506294143499</v>
      </c>
      <c r="H5" s="92">
        <v>-3.8603859786216601</v>
      </c>
      <c r="I5" s="92">
        <v>-1.95984034453291</v>
      </c>
      <c r="J5" s="92">
        <v>-0.11547966804380499</v>
      </c>
      <c r="K5" s="92">
        <v>-0.76837443150288298</v>
      </c>
      <c r="L5" s="92"/>
      <c r="M5" s="92">
        <v>5.9769578404874197</v>
      </c>
      <c r="N5" s="92">
        <v>-2.1526276885559499</v>
      </c>
      <c r="O5" s="92">
        <v>-3.0286415634790802</v>
      </c>
    </row>
    <row r="6" spans="1:15" x14ac:dyDescent="0.3">
      <c r="B6" s="31" t="s">
        <v>186</v>
      </c>
      <c r="C6" s="92">
        <v>0.467447225070594</v>
      </c>
      <c r="D6" s="92">
        <v>-0.57650626277489003</v>
      </c>
      <c r="E6" s="92">
        <v>0.18296770137826701</v>
      </c>
      <c r="F6" s="92">
        <v>1.99225701774648</v>
      </c>
      <c r="G6" s="92">
        <v>12.9368662994224</v>
      </c>
      <c r="H6" s="92">
        <v>2.93543067724347</v>
      </c>
      <c r="I6" s="92">
        <v>5.8262754866313902</v>
      </c>
      <c r="J6" s="92">
        <v>1.07899925441004</v>
      </c>
      <c r="K6" s="92">
        <v>-0.62393644348240895</v>
      </c>
      <c r="L6" s="92"/>
      <c r="M6" s="92">
        <v>4.75561830704223</v>
      </c>
      <c r="N6" s="92">
        <v>4.8037885829077496</v>
      </c>
      <c r="O6" s="92">
        <v>-5.1826974134160899</v>
      </c>
    </row>
    <row r="7" spans="1:15" x14ac:dyDescent="0.3">
      <c r="B7" s="31" t="s">
        <v>179</v>
      </c>
      <c r="C7" s="92">
        <v>3.6993761894135799</v>
      </c>
      <c r="D7" s="92">
        <v>6.7257072821105499</v>
      </c>
      <c r="E7" s="92">
        <v>2.8113137398313</v>
      </c>
      <c r="F7" s="92">
        <v>4.2663395492634502</v>
      </c>
      <c r="G7" s="92">
        <v>13.375176995928999</v>
      </c>
      <c r="H7" s="92">
        <v>3.6293246126450698</v>
      </c>
      <c r="I7" s="92">
        <v>4.43498446631048</v>
      </c>
      <c r="J7" s="92">
        <v>4.1694928951359103</v>
      </c>
      <c r="K7" s="92">
        <v>2.3732879329173602</v>
      </c>
      <c r="L7" s="92"/>
      <c r="M7" s="92">
        <v>0.426202529369202</v>
      </c>
      <c r="N7" s="92">
        <v>6.0433632224978799</v>
      </c>
      <c r="O7" s="92">
        <v>1.02418241703139</v>
      </c>
    </row>
    <row r="8" spans="1:15" x14ac:dyDescent="0.3">
      <c r="B8" s="31" t="s">
        <v>413</v>
      </c>
      <c r="C8" s="92">
        <v>1.27547745763652</v>
      </c>
      <c r="D8" s="92">
        <v>7.02614189487731</v>
      </c>
      <c r="E8" s="92">
        <v>1.40414033391727</v>
      </c>
      <c r="F8" s="92">
        <v>1.5266506947377401</v>
      </c>
      <c r="G8" s="92">
        <v>0.554439011315222</v>
      </c>
      <c r="H8" s="92">
        <v>1.32787259118254</v>
      </c>
      <c r="I8" s="92">
        <v>1.99770833731185</v>
      </c>
      <c r="J8" s="92">
        <v>0.92242287749517704</v>
      </c>
      <c r="K8" s="92">
        <v>2.1476528396637402</v>
      </c>
      <c r="L8" s="92"/>
      <c r="M8" s="92">
        <v>1.1439078412416299</v>
      </c>
      <c r="N8" s="92">
        <v>0.38408948271209098</v>
      </c>
      <c r="O8" s="92">
        <v>1.6896419986678599</v>
      </c>
    </row>
    <row r="9" spans="1:15" x14ac:dyDescent="0.3">
      <c r="B9" s="31" t="s">
        <v>184</v>
      </c>
      <c r="C9" s="92">
        <v>0.55402252926011197</v>
      </c>
      <c r="D9" s="92">
        <v>2.3678935513752801</v>
      </c>
      <c r="E9" s="92">
        <v>-0.20423061045015101</v>
      </c>
      <c r="F9" s="92">
        <v>-0.18660326321151599</v>
      </c>
      <c r="G9" s="92">
        <v>-0.681243883692773</v>
      </c>
      <c r="H9" s="92">
        <v>-0.63884044055797495</v>
      </c>
      <c r="I9" s="92">
        <v>3.38606259533096</v>
      </c>
      <c r="J9" s="92">
        <v>1.6929808122874399</v>
      </c>
      <c r="K9" s="92">
        <v>1.6328622480192001</v>
      </c>
      <c r="L9" s="92"/>
      <c r="M9" s="92">
        <v>1.0789388402491</v>
      </c>
      <c r="N9" s="92">
        <v>6.6471714272810596</v>
      </c>
      <c r="O9" s="92">
        <v>1.66761057217124</v>
      </c>
    </row>
    <row r="10" spans="1:15" x14ac:dyDescent="0.3">
      <c r="B10" s="31" t="s">
        <v>176</v>
      </c>
      <c r="C10" s="92">
        <v>3.04245561880869</v>
      </c>
      <c r="D10" s="92">
        <v>5.3558352923555503</v>
      </c>
      <c r="E10" s="92">
        <v>3.8927474963197199</v>
      </c>
      <c r="F10" s="92">
        <v>4.8923434677697699</v>
      </c>
      <c r="G10" s="92">
        <v>5.2649237023228501</v>
      </c>
      <c r="H10" s="92">
        <v>2.4487602857416801</v>
      </c>
      <c r="I10" s="92">
        <v>-0.39261937379268003</v>
      </c>
      <c r="J10" s="92">
        <v>3.2842384556098998</v>
      </c>
      <c r="K10" s="92">
        <v>2.5222824003768198</v>
      </c>
      <c r="L10" s="92"/>
      <c r="M10" s="92">
        <v>1.7695053272665</v>
      </c>
      <c r="N10" s="92">
        <v>-1.0103904358903399</v>
      </c>
      <c r="O10" s="92">
        <v>2.2952949132601299</v>
      </c>
    </row>
    <row r="11" spans="1:15" x14ac:dyDescent="0.3">
      <c r="B11" s="31" t="s">
        <v>414</v>
      </c>
      <c r="C11" s="92">
        <v>2.03860019957702</v>
      </c>
      <c r="D11" s="92">
        <v>4.9128086621600398</v>
      </c>
      <c r="E11" s="92">
        <v>2.9378590166288001</v>
      </c>
      <c r="F11" s="92">
        <v>2.66963951570576</v>
      </c>
      <c r="G11" s="92">
        <v>5.6796365630237702</v>
      </c>
      <c r="H11" s="92">
        <v>3.3967422982739399</v>
      </c>
      <c r="I11" s="92">
        <v>-0.13868698997010501</v>
      </c>
      <c r="J11" s="92">
        <v>5.8750307792920102</v>
      </c>
      <c r="K11" s="92">
        <v>3.0056368935035902</v>
      </c>
      <c r="L11" s="92"/>
      <c r="M11" s="92">
        <v>1.44876023550633</v>
      </c>
      <c r="N11" s="92">
        <v>6.0018319649279199</v>
      </c>
      <c r="O11" s="92">
        <v>-4.5050743082678499</v>
      </c>
    </row>
    <row r="12" spans="1:15" x14ac:dyDescent="0.3">
      <c r="B12" s="31" t="s">
        <v>374</v>
      </c>
      <c r="C12" s="92">
        <v>-0.192061573522218</v>
      </c>
      <c r="D12" s="92">
        <v>5.3507927691022203</v>
      </c>
      <c r="E12" s="92">
        <v>1.2200108273775701</v>
      </c>
      <c r="F12" s="92">
        <v>-0.35769628198461001</v>
      </c>
      <c r="G12" s="92">
        <v>0.89039284636645</v>
      </c>
      <c r="H12" s="92">
        <v>0.19230182269422999</v>
      </c>
      <c r="I12" s="92">
        <v>0.89050750983239402</v>
      </c>
      <c r="J12" s="92">
        <v>1.62776301542362</v>
      </c>
      <c r="K12" s="92">
        <v>1.31269138483827</v>
      </c>
      <c r="L12" s="92"/>
      <c r="M12" s="92">
        <v>0.12566636889355101</v>
      </c>
      <c r="N12" s="92">
        <v>0.234815658232645</v>
      </c>
      <c r="O12" s="92">
        <v>-2.3831946409564999</v>
      </c>
    </row>
    <row r="13" spans="1:15" x14ac:dyDescent="0.3">
      <c r="B13" s="31" t="s">
        <v>415</v>
      </c>
      <c r="C13" s="92">
        <v>-2.622715012944</v>
      </c>
      <c r="D13" s="92">
        <v>9.3669483464968906</v>
      </c>
      <c r="E13" s="92">
        <v>-0.120570637541717</v>
      </c>
      <c r="F13" s="92">
        <v>-13.7771610574588</v>
      </c>
      <c r="G13" s="92">
        <v>4.2209517354313597</v>
      </c>
      <c r="H13" s="92">
        <v>-7.34234900125794</v>
      </c>
      <c r="I13" s="92">
        <v>0.35958180463531197</v>
      </c>
      <c r="J13" s="92">
        <v>4.6152174087351803</v>
      </c>
      <c r="K13" s="92">
        <v>-0.32907894735035897</v>
      </c>
      <c r="L13" s="92"/>
      <c r="M13" s="92">
        <v>1.9774542669855</v>
      </c>
      <c r="N13" s="92">
        <v>4.0468596191028299</v>
      </c>
      <c r="O13" s="92">
        <v>16.074469383874799</v>
      </c>
    </row>
    <row r="14" spans="1:15" x14ac:dyDescent="0.3">
      <c r="B14" s="206" t="s">
        <v>151</v>
      </c>
      <c r="C14" s="206"/>
      <c r="D14" s="206"/>
      <c r="E14" s="206"/>
      <c r="F14" s="206"/>
      <c r="G14" s="206"/>
      <c r="H14" s="206"/>
      <c r="I14" s="206"/>
      <c r="J14" s="206"/>
      <c r="K14" s="206"/>
      <c r="L14" s="206"/>
      <c r="M14" s="206"/>
      <c r="N14" s="206"/>
      <c r="O14" s="206"/>
    </row>
    <row r="15" spans="1:15" x14ac:dyDescent="0.3">
      <c r="B15" s="31" t="s">
        <v>153</v>
      </c>
      <c r="C15" s="92">
        <v>-0.77844660732568904</v>
      </c>
      <c r="D15" s="92">
        <v>0.67507612208836898</v>
      </c>
      <c r="E15" s="92">
        <v>-2.1227562753670401</v>
      </c>
      <c r="F15" s="92">
        <v>-4.6492605209401399</v>
      </c>
      <c r="G15" s="92">
        <v>-1.7779738734314801</v>
      </c>
      <c r="H15" s="92">
        <v>-2.0834954886092998</v>
      </c>
      <c r="I15" s="92">
        <v>-0.53326231951236203</v>
      </c>
      <c r="J15" s="92">
        <v>-0.314992891340027</v>
      </c>
      <c r="K15" s="92">
        <v>-0.421901883141163</v>
      </c>
      <c r="L15" s="92">
        <v>-0.16844871400210101</v>
      </c>
      <c r="M15" s="92">
        <v>0.29235481082599002</v>
      </c>
      <c r="N15" s="92">
        <v>1.0933971032563801</v>
      </c>
      <c r="O15" s="92">
        <v>-3.27810646623844</v>
      </c>
    </row>
    <row r="16" spans="1:15" x14ac:dyDescent="0.3">
      <c r="B16" s="31" t="s">
        <v>154</v>
      </c>
      <c r="C16" s="92">
        <v>2.8752992482947</v>
      </c>
      <c r="D16" s="92">
        <v>5.6710240221426096</v>
      </c>
      <c r="E16" s="92">
        <v>3.5639383733671899</v>
      </c>
      <c r="F16" s="92">
        <v>1.67746980457728</v>
      </c>
      <c r="G16" s="92">
        <v>2.12878790244035</v>
      </c>
      <c r="H16" s="92">
        <v>5.0029166873327497</v>
      </c>
      <c r="I16" s="92">
        <v>4.7645453655891501</v>
      </c>
      <c r="J16" s="92">
        <v>3.1634002856227399</v>
      </c>
      <c r="K16" s="92">
        <v>3.8822737754848</v>
      </c>
      <c r="L16" s="92">
        <v>3.0031431055930899</v>
      </c>
      <c r="M16" s="92">
        <v>0.60787796093506596</v>
      </c>
      <c r="N16" s="92">
        <v>1.45338137223243</v>
      </c>
      <c r="O16" s="92">
        <v>3.86889942025803</v>
      </c>
    </row>
    <row r="17" spans="2:15" x14ac:dyDescent="0.3">
      <c r="B17" s="31" t="s">
        <v>155</v>
      </c>
      <c r="C17" s="92">
        <v>3.3160362425240599</v>
      </c>
      <c r="D17" s="92">
        <v>7.9664961602408502</v>
      </c>
      <c r="E17" s="92">
        <v>5.1783636295003896</v>
      </c>
      <c r="F17" s="92">
        <v>9.6991961482354405</v>
      </c>
      <c r="G17" s="92">
        <v>13.1693288461646</v>
      </c>
      <c r="H17" s="92">
        <v>3.9146635799161702</v>
      </c>
      <c r="I17" s="92">
        <v>2.7106081811497198</v>
      </c>
      <c r="J17" s="92">
        <v>4.0466176926950501</v>
      </c>
      <c r="K17" s="92">
        <v>4.8567604311258599</v>
      </c>
      <c r="L17" s="92">
        <v>0.48058298286690598</v>
      </c>
      <c r="M17" s="92">
        <v>2.9423772571626898</v>
      </c>
      <c r="N17" s="92">
        <v>6.2964856975836803</v>
      </c>
      <c r="O17" s="92">
        <v>11.4092673197365</v>
      </c>
    </row>
  </sheetData>
  <mergeCells count="3">
    <mergeCell ref="B2:O2"/>
    <mergeCell ref="B4:O4"/>
    <mergeCell ref="B14:O14"/>
  </mergeCells>
  <hyperlinks>
    <hyperlink ref="A1" location="Index!A1" display="'Index" xr:uid="{76157122-5918-45AB-8F68-6A1C9EB4A1AB}"/>
  </hyperlinks>
  <pageMargins left="0.7" right="0.7" top="0.75" bottom="0.75" header="0.3" footer="0.3"/>
  <pageSetup orientation="portrait" r:id="rId1"/>
  <headerFooter>
    <oddFooter>&amp;R_x000D_&amp;1#&amp;"Calibri"&amp;10&amp;K000000 Official Use Only</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BA6DF-0810-4D3E-B238-E7FE0CA51E88}">
  <dimension ref="A1:O17"/>
  <sheetViews>
    <sheetView showGridLines="0" workbookViewId="0">
      <selection activeCell="B3" sqref="B3:O17"/>
    </sheetView>
  </sheetViews>
  <sheetFormatPr defaultRowHeight="14.4" x14ac:dyDescent="0.3"/>
  <cols>
    <col min="2" max="2" width="46.88671875" bestFit="1" customWidth="1"/>
    <col min="3" max="4" width="4.5546875" bestFit="1" customWidth="1"/>
    <col min="5" max="5" width="4.109375" bestFit="1" customWidth="1"/>
    <col min="6" max="7" width="4.5546875" bestFit="1" customWidth="1"/>
    <col min="8" max="10" width="4.109375" bestFit="1" customWidth="1"/>
    <col min="11" max="11" width="3.5546875" bestFit="1" customWidth="1"/>
    <col min="12" max="13" width="4.109375" bestFit="1" customWidth="1"/>
    <col min="14" max="14" width="3.5546875" bestFit="1" customWidth="1"/>
    <col min="15" max="15" width="5.109375" bestFit="1" customWidth="1"/>
  </cols>
  <sheetData>
    <row r="1" spans="1:15" x14ac:dyDescent="0.3">
      <c r="A1" s="108" t="s">
        <v>0</v>
      </c>
    </row>
    <row r="2" spans="1:15" x14ac:dyDescent="0.3">
      <c r="B2" s="204" t="s">
        <v>418</v>
      </c>
      <c r="C2" s="204"/>
      <c r="D2" s="204"/>
      <c r="E2" s="204"/>
      <c r="F2" s="204"/>
      <c r="G2" s="204"/>
      <c r="H2" s="204"/>
      <c r="I2" s="204"/>
      <c r="J2" s="204"/>
      <c r="K2" s="204"/>
      <c r="L2" s="204"/>
      <c r="M2" s="204"/>
      <c r="N2" s="204"/>
      <c r="O2" s="204"/>
    </row>
    <row r="3" spans="1:15" ht="93" x14ac:dyDescent="0.3">
      <c r="B3" s="165"/>
      <c r="C3" s="166" t="s">
        <v>90</v>
      </c>
      <c r="D3" s="166" t="s">
        <v>91</v>
      </c>
      <c r="E3" s="166" t="s">
        <v>92</v>
      </c>
      <c r="F3" s="166" t="s">
        <v>93</v>
      </c>
      <c r="G3" s="166" t="s">
        <v>94</v>
      </c>
      <c r="H3" s="166" t="s">
        <v>95</v>
      </c>
      <c r="I3" s="166" t="s">
        <v>96</v>
      </c>
      <c r="J3" s="166" t="s">
        <v>97</v>
      </c>
      <c r="K3" s="166" t="s">
        <v>99</v>
      </c>
      <c r="L3" s="166" t="s">
        <v>126</v>
      </c>
      <c r="M3" s="166" t="s">
        <v>100</v>
      </c>
      <c r="N3" s="166" t="s">
        <v>127</v>
      </c>
      <c r="O3" s="166" t="s">
        <v>101</v>
      </c>
    </row>
    <row r="4" spans="1:15" x14ac:dyDescent="0.3">
      <c r="B4" s="205" t="s">
        <v>410</v>
      </c>
      <c r="C4" s="205"/>
      <c r="D4" s="205"/>
      <c r="E4" s="205"/>
      <c r="F4" s="205"/>
      <c r="G4" s="205"/>
      <c r="H4" s="205"/>
      <c r="I4" s="205"/>
      <c r="J4" s="205"/>
      <c r="K4" s="205"/>
      <c r="L4" s="205"/>
      <c r="M4" s="205"/>
      <c r="N4" s="205"/>
      <c r="O4" s="205"/>
    </row>
    <row r="5" spans="1:15" x14ac:dyDescent="0.3">
      <c r="B5" s="31" t="s">
        <v>189</v>
      </c>
      <c r="C5" s="44">
        <v>10.0142492674949</v>
      </c>
      <c r="D5" s="44">
        <v>3.04782935477688</v>
      </c>
      <c r="E5" s="44">
        <v>-2.9976838867378799</v>
      </c>
      <c r="F5" s="44">
        <v>-2.4030698411844198</v>
      </c>
      <c r="G5" s="44">
        <v>7.5773972573643702</v>
      </c>
      <c r="H5" s="44">
        <v>-3.2436325089476701</v>
      </c>
      <c r="I5" s="44">
        <v>-0.32067395166204299</v>
      </c>
      <c r="J5" s="44">
        <v>0.472769384283733</v>
      </c>
      <c r="K5" s="44">
        <v>3.2449205862865802</v>
      </c>
      <c r="L5" s="44"/>
      <c r="M5" s="44">
        <v>-3.90086920719608</v>
      </c>
      <c r="N5" s="44">
        <v>6.4886974708213296</v>
      </c>
      <c r="O5" s="44">
        <v>-2.9619614509441301</v>
      </c>
    </row>
    <row r="6" spans="1:15" x14ac:dyDescent="0.3">
      <c r="B6" s="31" t="s">
        <v>186</v>
      </c>
      <c r="C6" s="44">
        <v>2.10236920157136</v>
      </c>
      <c r="D6" s="44">
        <v>1.6594437935889099</v>
      </c>
      <c r="E6" s="44">
        <v>0.24017109804401701</v>
      </c>
      <c r="F6" s="44">
        <v>3.9072824454647899</v>
      </c>
      <c r="G6" s="44">
        <v>10.569936990253099</v>
      </c>
      <c r="H6" s="44">
        <v>3.98290480815833</v>
      </c>
      <c r="I6" s="44">
        <v>5.8075287674977698</v>
      </c>
      <c r="J6" s="44">
        <v>-0.14624911663586601</v>
      </c>
      <c r="K6" s="44">
        <v>1.7560928161838101</v>
      </c>
      <c r="L6" s="44"/>
      <c r="M6" s="44">
        <v>4.2880685187894496</v>
      </c>
      <c r="N6" s="44">
        <v>9.2590597011982894</v>
      </c>
      <c r="O6" s="44">
        <v>-0.599220855276972</v>
      </c>
    </row>
    <row r="7" spans="1:15" x14ac:dyDescent="0.3">
      <c r="B7" s="31" t="s">
        <v>179</v>
      </c>
      <c r="C7" s="44">
        <v>4.0274106186953196</v>
      </c>
      <c r="D7" s="44">
        <v>8.8638624001695394</v>
      </c>
      <c r="E7" s="44">
        <v>3.8920061095184999</v>
      </c>
      <c r="F7" s="44">
        <v>5.55860481791421</v>
      </c>
      <c r="G7" s="44">
        <v>16.761211032553302</v>
      </c>
      <c r="H7" s="44">
        <v>7.5111622992269496</v>
      </c>
      <c r="I7" s="44">
        <v>4.1873937064958602</v>
      </c>
      <c r="J7" s="44">
        <v>8.4493809635785908</v>
      </c>
      <c r="K7" s="44">
        <v>4.7683443772335696</v>
      </c>
      <c r="L7" s="44"/>
      <c r="M7" s="44">
        <v>0.68316556503997805</v>
      </c>
      <c r="N7" s="44">
        <v>2.0943201996860901</v>
      </c>
      <c r="O7" s="44">
        <v>0.29779353688250698</v>
      </c>
    </row>
    <row r="8" spans="1:15" x14ac:dyDescent="0.3">
      <c r="B8" s="31" t="s">
        <v>413</v>
      </c>
      <c r="C8" s="44">
        <v>3.8930422655805601</v>
      </c>
      <c r="D8" s="44">
        <v>6.4460361544601801</v>
      </c>
      <c r="E8" s="44">
        <v>1.50461274210822</v>
      </c>
      <c r="F8" s="44">
        <v>1.3182502198734201</v>
      </c>
      <c r="G8" s="44">
        <v>1.9849686481692601</v>
      </c>
      <c r="H8" s="44">
        <v>2.7898450850034799</v>
      </c>
      <c r="I8" s="44">
        <v>3.1979321017165501</v>
      </c>
      <c r="J8" s="44">
        <v>-0.96823926818291295</v>
      </c>
      <c r="K8" s="44">
        <v>2.8634906613562099</v>
      </c>
      <c r="L8" s="44"/>
      <c r="M8" s="44">
        <v>2.57048804004374</v>
      </c>
      <c r="N8" s="44">
        <v>1.92331741097471</v>
      </c>
      <c r="O8" s="44">
        <v>6.5184066026381204</v>
      </c>
    </row>
    <row r="9" spans="1:15" x14ac:dyDescent="0.3">
      <c r="B9" s="31" t="s">
        <v>184</v>
      </c>
      <c r="C9" s="44">
        <v>3.9816991284058698</v>
      </c>
      <c r="D9" s="44">
        <v>4.8068971977725203</v>
      </c>
      <c r="E9" s="44">
        <v>3.40721560885118</v>
      </c>
      <c r="F9" s="44">
        <v>4.3332133835543196</v>
      </c>
      <c r="G9" s="44">
        <v>28.688374482762502</v>
      </c>
      <c r="H9" s="44">
        <v>2.6730523293327901</v>
      </c>
      <c r="I9" s="44">
        <v>8.1014646792944198</v>
      </c>
      <c r="J9" s="44">
        <v>-0.718764019208606</v>
      </c>
      <c r="K9" s="44">
        <v>5.6948844667397998</v>
      </c>
      <c r="L9" s="44"/>
      <c r="M9" s="44">
        <v>2.2064575678649301</v>
      </c>
      <c r="N9" s="44">
        <v>8.3877839260404699</v>
      </c>
      <c r="O9" s="44">
        <v>-13.2566243107161</v>
      </c>
    </row>
    <row r="10" spans="1:15" x14ac:dyDescent="0.3">
      <c r="B10" s="31" t="s">
        <v>176</v>
      </c>
      <c r="C10" s="44">
        <v>2.7481381710815702</v>
      </c>
      <c r="D10" s="44">
        <v>5.6025282999642601</v>
      </c>
      <c r="E10" s="44">
        <v>3.2166801815125501</v>
      </c>
      <c r="F10" s="44">
        <v>5.1172159049205597</v>
      </c>
      <c r="G10" s="44">
        <v>8.7112333750125597</v>
      </c>
      <c r="H10" s="44">
        <v>2.3775002510235699</v>
      </c>
      <c r="I10" s="44">
        <v>3.7028936238490999</v>
      </c>
      <c r="J10" s="44">
        <v>3.4230562906092201</v>
      </c>
      <c r="K10" s="44">
        <v>2.8253782303810699</v>
      </c>
      <c r="L10" s="44"/>
      <c r="M10" s="44">
        <v>2.2439940364903799</v>
      </c>
      <c r="N10" s="44">
        <v>0.69478567820207005</v>
      </c>
      <c r="O10" s="44">
        <v>-4.4969460358901499</v>
      </c>
    </row>
    <row r="11" spans="1:15" x14ac:dyDescent="0.3">
      <c r="B11" s="31" t="s">
        <v>414</v>
      </c>
      <c r="C11" s="44">
        <v>6.9366813530389502</v>
      </c>
      <c r="D11" s="44">
        <v>1.2364408290344</v>
      </c>
      <c r="E11" s="44">
        <v>4.3986456750171996</v>
      </c>
      <c r="F11" s="44">
        <v>6.8986536135794401</v>
      </c>
      <c r="G11" s="44">
        <v>6.7861792608258504</v>
      </c>
      <c r="H11" s="44">
        <v>5.5802225843282596</v>
      </c>
      <c r="I11" s="44">
        <v>-2.9818380984977799</v>
      </c>
      <c r="J11" s="44">
        <v>-2.6039446947683098</v>
      </c>
      <c r="K11" s="44">
        <v>7.0265035699039098</v>
      </c>
      <c r="L11" s="44"/>
      <c r="M11" s="44">
        <v>3.6012810612148201</v>
      </c>
      <c r="N11" s="44">
        <v>7.4573353215098299</v>
      </c>
      <c r="O11" s="44">
        <v>3.2943725628670699</v>
      </c>
    </row>
    <row r="12" spans="1:15" x14ac:dyDescent="0.3">
      <c r="B12" s="31" t="s">
        <v>374</v>
      </c>
      <c r="C12" s="44">
        <v>1.7503675616834999</v>
      </c>
      <c r="D12" s="44">
        <v>10.0662274778115</v>
      </c>
      <c r="E12" s="44">
        <v>0.86851595273373905</v>
      </c>
      <c r="F12" s="44">
        <v>7.2298960135386295E-2</v>
      </c>
      <c r="G12" s="44">
        <v>-0.37652381932941098</v>
      </c>
      <c r="H12" s="44">
        <v>4.84734051637452</v>
      </c>
      <c r="I12" s="44">
        <v>0.71402836690763705</v>
      </c>
      <c r="J12" s="44">
        <v>3.56991803064082</v>
      </c>
      <c r="K12" s="44">
        <v>3.0904603911001001</v>
      </c>
      <c r="L12" s="44"/>
      <c r="M12" s="44">
        <v>1.9154039888122301</v>
      </c>
      <c r="N12" s="44">
        <v>0.49634836903267299</v>
      </c>
      <c r="O12" s="44">
        <v>-3.6290368358914402</v>
      </c>
    </row>
    <row r="13" spans="1:15" x14ac:dyDescent="0.3">
      <c r="B13" s="31" t="s">
        <v>415</v>
      </c>
      <c r="C13" s="44">
        <v>-2.18058446802116E-2</v>
      </c>
      <c r="D13" s="44">
        <v>6.9172786227554797</v>
      </c>
      <c r="E13" s="44">
        <v>-0.59641344361658399</v>
      </c>
      <c r="F13" s="44">
        <v>-5.5822241563104997</v>
      </c>
      <c r="G13" s="44">
        <v>10.3184372078377</v>
      </c>
      <c r="H13" s="44">
        <v>0.998428956626918</v>
      </c>
      <c r="I13" s="44">
        <v>-0.91287101790312697</v>
      </c>
      <c r="J13" s="44">
        <v>7.81470273236586</v>
      </c>
      <c r="K13" s="44">
        <v>0.50107089549291695</v>
      </c>
      <c r="L13" s="44"/>
      <c r="M13" s="44">
        <v>4.0527373370789803</v>
      </c>
      <c r="N13" s="44">
        <v>5.7280413794724296</v>
      </c>
      <c r="O13" s="44">
        <v>-4.5245762043996702</v>
      </c>
    </row>
    <row r="14" spans="1:15" x14ac:dyDescent="0.3">
      <c r="B14" s="205" t="s">
        <v>151</v>
      </c>
      <c r="C14" s="205"/>
      <c r="D14" s="205"/>
      <c r="E14" s="205"/>
      <c r="F14" s="205"/>
      <c r="G14" s="205"/>
      <c r="H14" s="205"/>
      <c r="I14" s="205"/>
      <c r="J14" s="205"/>
      <c r="K14" s="205"/>
      <c r="L14" s="205"/>
      <c r="M14" s="205"/>
      <c r="N14" s="205"/>
      <c r="O14" s="205"/>
    </row>
    <row r="15" spans="1:15" x14ac:dyDescent="0.3">
      <c r="B15" s="31" t="s">
        <v>153</v>
      </c>
      <c r="C15" s="44">
        <v>-4.95487758035318E-2</v>
      </c>
      <c r="D15" s="44">
        <v>3.2587804524978101</v>
      </c>
      <c r="E15" s="44">
        <v>-2.6687157789635698</v>
      </c>
      <c r="F15" s="44">
        <v>-5.4985363724706904</v>
      </c>
      <c r="G15" s="44">
        <v>0.69764362185580397</v>
      </c>
      <c r="H15" s="44">
        <v>-1.12325290552389</v>
      </c>
      <c r="I15" s="44">
        <v>-0.366234110814256</v>
      </c>
      <c r="J15" s="44">
        <v>1.1512908961227799</v>
      </c>
      <c r="K15" s="44">
        <v>0.59489370019258903</v>
      </c>
      <c r="L15" s="44">
        <v>-1.69414477033262</v>
      </c>
      <c r="M15" s="44">
        <v>2.8808572893851898</v>
      </c>
      <c r="N15" s="44">
        <v>1.95406502769364</v>
      </c>
      <c r="O15" s="44">
        <v>-1.86216431825588</v>
      </c>
    </row>
    <row r="16" spans="1:15" x14ac:dyDescent="0.3">
      <c r="B16" s="31" t="s">
        <v>154</v>
      </c>
      <c r="C16" s="44">
        <v>3.5897326171436799</v>
      </c>
      <c r="D16" s="44">
        <v>8.9642867724031507</v>
      </c>
      <c r="E16" s="44">
        <v>2.6606516877319302</v>
      </c>
      <c r="F16" s="44">
        <v>2.6422412717182202</v>
      </c>
      <c r="G16" s="44">
        <v>5.6022028900020597</v>
      </c>
      <c r="H16" s="44">
        <v>5.9656928802096303</v>
      </c>
      <c r="I16" s="44">
        <v>5.3142978571985902</v>
      </c>
      <c r="J16" s="44">
        <v>0.77387187027295701</v>
      </c>
      <c r="K16" s="44">
        <v>4.3255828005025503</v>
      </c>
      <c r="L16" s="44">
        <v>4.7469475268869799</v>
      </c>
      <c r="M16" s="44">
        <v>2.0815804351188798</v>
      </c>
      <c r="N16" s="44">
        <v>1.33355761783904</v>
      </c>
      <c r="O16" s="44">
        <v>-2.5087857331094399</v>
      </c>
    </row>
    <row r="17" spans="2:15" x14ac:dyDescent="0.3">
      <c r="B17" s="31" t="s">
        <v>155</v>
      </c>
      <c r="C17" s="44">
        <v>3.7541960678618498</v>
      </c>
      <c r="D17" s="44">
        <v>7.4014217327404497</v>
      </c>
      <c r="E17" s="44">
        <v>5.5156756897944303</v>
      </c>
      <c r="F17" s="44">
        <v>10.9608063351645</v>
      </c>
      <c r="G17" s="44">
        <v>13.0476642768784</v>
      </c>
      <c r="H17" s="44">
        <v>6.0526307804861901</v>
      </c>
      <c r="I17" s="44">
        <v>3.9921010120590701</v>
      </c>
      <c r="J17" s="44">
        <v>3.3020545636443899</v>
      </c>
      <c r="K17" s="44">
        <v>6.5174269736156401</v>
      </c>
      <c r="L17" s="44">
        <v>1.4811509871080399</v>
      </c>
      <c r="M17" s="44">
        <v>2.3653331645004001</v>
      </c>
      <c r="N17" s="44">
        <v>9.9214474943749291</v>
      </c>
      <c r="O17" s="44">
        <v>2.7235769225194102</v>
      </c>
    </row>
  </sheetData>
  <mergeCells count="3">
    <mergeCell ref="B2:O2"/>
    <mergeCell ref="B4:O4"/>
    <mergeCell ref="B14:O14"/>
  </mergeCells>
  <hyperlinks>
    <hyperlink ref="A1" location="Index!A1" display="'Index" xr:uid="{4C7D3852-F0FB-45AE-88E9-A52D4AE82B98}"/>
  </hyperlinks>
  <pageMargins left="0.7" right="0.7" top="0.75" bottom="0.75" header="0.3" footer="0.3"/>
  <pageSetup orientation="portrait" r:id="rId1"/>
  <headerFooter>
    <oddFooter>&amp;R_x000D_&amp;1#&amp;"Calibri"&amp;10&amp;K000000 Official Use Only</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CF87D-C7F2-47FC-A88A-26EB62C13662}">
  <dimension ref="A1:AF28"/>
  <sheetViews>
    <sheetView topLeftCell="M5" workbookViewId="0">
      <selection activeCell="Z24" sqref="Z24"/>
    </sheetView>
  </sheetViews>
  <sheetFormatPr defaultColWidth="9" defaultRowHeight="14.4" x14ac:dyDescent="0.3"/>
  <cols>
    <col min="1" max="1" width="17.109375" style="81" hidden="1" customWidth="1"/>
    <col min="2" max="2" width="10.88671875" style="81" hidden="1" customWidth="1"/>
    <col min="3" max="5" width="20" style="81" hidden="1" customWidth="1"/>
    <col min="6" max="6" width="10.44140625" style="81" hidden="1" customWidth="1"/>
    <col min="7" max="7" width="0" style="81" hidden="1" customWidth="1"/>
    <col min="8" max="8" width="4.5546875" style="81" hidden="1" customWidth="1"/>
    <col min="9" max="9" width="17.88671875" style="81" hidden="1" customWidth="1"/>
    <col min="10" max="10" width="25" style="81" hidden="1" customWidth="1"/>
    <col min="11" max="12" width="0" style="81" hidden="1" customWidth="1"/>
    <col min="13" max="13" width="17.88671875" style="81" bestFit="1" customWidth="1"/>
    <col min="14" max="16" width="16.88671875" style="81" bestFit="1" customWidth="1"/>
    <col min="17" max="17" width="9" style="81"/>
    <col min="18" max="19" width="0" style="81" hidden="1" customWidth="1"/>
    <col min="20" max="20" width="10.5546875" style="81" bestFit="1" customWidth="1"/>
    <col min="21" max="21" width="8.44140625" style="81" bestFit="1" customWidth="1"/>
    <col min="22" max="22" width="7.88671875" style="81" bestFit="1" customWidth="1"/>
    <col min="23" max="23" width="9" style="81"/>
    <col min="24" max="24" width="0" style="81" hidden="1" customWidth="1"/>
    <col min="25" max="26" width="12.5546875" style="81" customWidth="1"/>
    <col min="27" max="28" width="19.109375" style="81" bestFit="1" customWidth="1"/>
    <col min="29" max="32" width="12.5546875" style="81" customWidth="1"/>
    <col min="33" max="16384" width="9" style="81"/>
  </cols>
  <sheetData>
    <row r="1" spans="1:32" x14ac:dyDescent="0.3">
      <c r="A1" s="108" t="s">
        <v>0</v>
      </c>
    </row>
    <row r="2" spans="1:32" x14ac:dyDescent="0.3">
      <c r="H2" s="210" t="s">
        <v>419</v>
      </c>
      <c r="I2" s="210"/>
      <c r="J2" s="210"/>
      <c r="M2" s="211" t="s">
        <v>419</v>
      </c>
      <c r="N2" s="212"/>
      <c r="O2" s="212"/>
      <c r="P2" s="212"/>
      <c r="Y2" s="160" t="s">
        <v>420</v>
      </c>
    </row>
    <row r="3" spans="1:32" ht="81" customHeight="1" x14ac:dyDescent="0.3">
      <c r="A3" s="213" t="s">
        <v>421</v>
      </c>
      <c r="B3" s="213"/>
      <c r="C3" s="122" t="s">
        <v>422</v>
      </c>
      <c r="D3" s="122" t="s">
        <v>423</v>
      </c>
      <c r="E3" s="122" t="s">
        <v>424</v>
      </c>
      <c r="F3" s="122" t="s">
        <v>425</v>
      </c>
      <c r="H3" s="86" t="s">
        <v>426</v>
      </c>
      <c r="I3" s="86" t="s">
        <v>119</v>
      </c>
      <c r="J3" s="86" t="s">
        <v>196</v>
      </c>
      <c r="M3" s="123" t="s">
        <v>119</v>
      </c>
      <c r="N3" s="123" t="s">
        <v>257</v>
      </c>
      <c r="O3" s="123" t="s">
        <v>258</v>
      </c>
      <c r="P3" s="123" t="s">
        <v>252</v>
      </c>
      <c r="T3" s="86" t="s">
        <v>386</v>
      </c>
      <c r="U3" s="86" t="s">
        <v>427</v>
      </c>
      <c r="V3" s="86" t="s">
        <v>428</v>
      </c>
      <c r="Y3" s="207" t="s">
        <v>421</v>
      </c>
      <c r="Z3" s="207"/>
      <c r="AA3" s="168" t="s">
        <v>422</v>
      </c>
      <c r="AB3" s="168" t="s">
        <v>423</v>
      </c>
      <c r="AC3" s="168" t="s">
        <v>424</v>
      </c>
      <c r="AD3" s="168" t="s">
        <v>425</v>
      </c>
      <c r="AE3" s="168" t="s">
        <v>429</v>
      </c>
      <c r="AF3" s="168" t="s">
        <v>430</v>
      </c>
    </row>
    <row r="4" spans="1:32" x14ac:dyDescent="0.3">
      <c r="A4" s="86" t="s">
        <v>90</v>
      </c>
      <c r="B4" s="124" t="s">
        <v>244</v>
      </c>
      <c r="C4" s="124" t="s">
        <v>125</v>
      </c>
      <c r="D4" s="124"/>
      <c r="E4" s="124"/>
      <c r="F4" s="124" t="s">
        <v>167</v>
      </c>
      <c r="H4" s="86" t="s">
        <v>293</v>
      </c>
      <c r="I4" s="86" t="s">
        <v>90</v>
      </c>
      <c r="J4" s="86" t="s">
        <v>259</v>
      </c>
      <c r="M4" s="86" t="s">
        <v>90</v>
      </c>
      <c r="N4" s="86" t="s">
        <v>260</v>
      </c>
      <c r="O4" s="86" t="s">
        <v>261</v>
      </c>
      <c r="P4" s="86" t="s">
        <v>259</v>
      </c>
      <c r="T4" s="86" t="s">
        <v>391</v>
      </c>
      <c r="U4" s="86">
        <v>2016</v>
      </c>
      <c r="V4" s="86">
        <v>2022</v>
      </c>
      <c r="Y4" s="86" t="s">
        <v>90</v>
      </c>
      <c r="Z4" s="124" t="s">
        <v>244</v>
      </c>
      <c r="AA4" s="124" t="s">
        <v>125</v>
      </c>
      <c r="AB4" s="124"/>
      <c r="AC4" s="124"/>
      <c r="AD4" s="124" t="s">
        <v>167</v>
      </c>
      <c r="AE4" s="124" t="s">
        <v>431</v>
      </c>
      <c r="AF4" s="124" t="s">
        <v>431</v>
      </c>
    </row>
    <row r="5" spans="1:32" x14ac:dyDescent="0.3">
      <c r="A5" s="86" t="s">
        <v>91</v>
      </c>
      <c r="B5" s="124" t="s">
        <v>237</v>
      </c>
      <c r="C5" s="124" t="s">
        <v>125</v>
      </c>
      <c r="D5" s="124"/>
      <c r="E5" s="124"/>
      <c r="F5" s="124" t="s">
        <v>432</v>
      </c>
      <c r="H5" s="86" t="s">
        <v>297</v>
      </c>
      <c r="I5" s="86" t="s">
        <v>91</v>
      </c>
      <c r="J5" s="86" t="s">
        <v>259</v>
      </c>
      <c r="M5" s="86" t="s">
        <v>91</v>
      </c>
      <c r="N5" s="86" t="s">
        <v>260</v>
      </c>
      <c r="O5" s="86" t="s">
        <v>261</v>
      </c>
      <c r="P5" s="86" t="s">
        <v>259</v>
      </c>
      <c r="T5" s="86" t="s">
        <v>392</v>
      </c>
      <c r="U5" s="86">
        <v>2016</v>
      </c>
      <c r="V5" s="86">
        <v>2022</v>
      </c>
      <c r="Y5" s="86" t="s">
        <v>91</v>
      </c>
      <c r="Z5" s="124" t="s">
        <v>237</v>
      </c>
      <c r="AA5" s="124" t="s">
        <v>125</v>
      </c>
      <c r="AB5" s="124"/>
      <c r="AC5" s="124"/>
      <c r="AD5" s="124" t="s">
        <v>432</v>
      </c>
      <c r="AE5" s="124" t="s">
        <v>431</v>
      </c>
      <c r="AF5" s="124" t="s">
        <v>431</v>
      </c>
    </row>
    <row r="6" spans="1:32" x14ac:dyDescent="0.3">
      <c r="A6" s="86" t="s">
        <v>92</v>
      </c>
      <c r="B6" s="124" t="s">
        <v>244</v>
      </c>
      <c r="C6" s="124" t="s">
        <v>125</v>
      </c>
      <c r="D6" s="124"/>
      <c r="E6" s="124"/>
      <c r="F6" s="124" t="s">
        <v>432</v>
      </c>
      <c r="H6" s="86" t="s">
        <v>298</v>
      </c>
      <c r="I6" s="86" t="s">
        <v>92</v>
      </c>
      <c r="J6" s="86" t="s">
        <v>259</v>
      </c>
      <c r="M6" s="86" t="s">
        <v>92</v>
      </c>
      <c r="N6" s="86" t="s">
        <v>260</v>
      </c>
      <c r="O6" s="86" t="s">
        <v>261</v>
      </c>
      <c r="P6" s="86" t="s">
        <v>259</v>
      </c>
      <c r="T6" s="86" t="s">
        <v>433</v>
      </c>
      <c r="U6" s="86">
        <v>2013</v>
      </c>
      <c r="V6" s="86">
        <v>2021</v>
      </c>
      <c r="Y6" s="86" t="s">
        <v>92</v>
      </c>
      <c r="Z6" s="124" t="s">
        <v>244</v>
      </c>
      <c r="AA6" s="124" t="s">
        <v>125</v>
      </c>
      <c r="AB6" s="124"/>
      <c r="AC6" s="124"/>
      <c r="AD6" s="124" t="s">
        <v>432</v>
      </c>
      <c r="AE6" s="124" t="s">
        <v>431</v>
      </c>
      <c r="AF6" s="124" t="s">
        <v>431</v>
      </c>
    </row>
    <row r="7" spans="1:32" x14ac:dyDescent="0.3">
      <c r="A7" s="86" t="s">
        <v>93</v>
      </c>
      <c r="B7" s="124" t="s">
        <v>244</v>
      </c>
      <c r="C7" s="124" t="s">
        <v>125</v>
      </c>
      <c r="D7" s="124" t="s">
        <v>383</v>
      </c>
      <c r="E7" s="124"/>
      <c r="F7" s="124" t="s">
        <v>432</v>
      </c>
      <c r="H7" s="86" t="s">
        <v>301</v>
      </c>
      <c r="I7" s="86" t="s">
        <v>93</v>
      </c>
      <c r="J7" s="86" t="s">
        <v>434</v>
      </c>
      <c r="M7" s="86" t="s">
        <v>93</v>
      </c>
      <c r="N7" s="86" t="s">
        <v>260</v>
      </c>
      <c r="O7" s="86" t="s">
        <v>261</v>
      </c>
      <c r="P7" s="86" t="s">
        <v>259</v>
      </c>
      <c r="T7" s="86" t="s">
        <v>393</v>
      </c>
      <c r="U7" s="86">
        <v>2017</v>
      </c>
      <c r="V7" s="86">
        <v>2022</v>
      </c>
      <c r="Y7" s="86" t="s">
        <v>93</v>
      </c>
      <c r="Z7" s="124" t="s">
        <v>244</v>
      </c>
      <c r="AA7" s="124" t="s">
        <v>125</v>
      </c>
      <c r="AB7" s="124" t="s">
        <v>383</v>
      </c>
      <c r="AC7" s="124"/>
      <c r="AD7" s="124" t="s">
        <v>432</v>
      </c>
      <c r="AE7" s="124" t="s">
        <v>431</v>
      </c>
      <c r="AF7" s="124"/>
    </row>
    <row r="8" spans="1:32" x14ac:dyDescent="0.3">
      <c r="A8" s="86" t="s">
        <v>94</v>
      </c>
      <c r="B8" s="124" t="s">
        <v>245</v>
      </c>
      <c r="C8" s="124" t="s">
        <v>435</v>
      </c>
      <c r="D8" s="124" t="s">
        <v>436</v>
      </c>
      <c r="E8" s="124"/>
      <c r="F8" s="124" t="s">
        <v>432</v>
      </c>
      <c r="H8" s="86" t="s">
        <v>303</v>
      </c>
      <c r="I8" s="86" t="s">
        <v>94</v>
      </c>
      <c r="J8" s="86" t="s">
        <v>437</v>
      </c>
      <c r="M8" s="86" t="s">
        <v>94</v>
      </c>
      <c r="N8" s="86" t="s">
        <v>260</v>
      </c>
      <c r="O8" s="86" t="s">
        <v>272</v>
      </c>
      <c r="P8" s="86" t="s">
        <v>271</v>
      </c>
      <c r="T8" s="86" t="s">
        <v>438</v>
      </c>
      <c r="U8" s="86">
        <v>2018</v>
      </c>
      <c r="V8" s="86">
        <v>2023</v>
      </c>
      <c r="Y8" s="86" t="s">
        <v>94</v>
      </c>
      <c r="Z8" s="124" t="s">
        <v>245</v>
      </c>
      <c r="AA8" s="124" t="s">
        <v>435</v>
      </c>
      <c r="AB8" s="124" t="s">
        <v>436</v>
      </c>
      <c r="AC8" s="124"/>
      <c r="AD8" s="124" t="s">
        <v>432</v>
      </c>
      <c r="AE8" s="124" t="s">
        <v>431</v>
      </c>
      <c r="AF8" s="124"/>
    </row>
    <row r="9" spans="1:32" x14ac:dyDescent="0.3">
      <c r="A9" s="86" t="s">
        <v>95</v>
      </c>
      <c r="B9" s="124" t="s">
        <v>245</v>
      </c>
      <c r="C9" s="124" t="s">
        <v>125</v>
      </c>
      <c r="D9" s="124"/>
      <c r="E9" s="124"/>
      <c r="F9" s="124" t="s">
        <v>432</v>
      </c>
      <c r="H9" s="86" t="s">
        <v>305</v>
      </c>
      <c r="I9" s="86" t="s">
        <v>95</v>
      </c>
      <c r="J9" s="86" t="s">
        <v>439</v>
      </c>
      <c r="M9" s="86" t="s">
        <v>95</v>
      </c>
      <c r="N9" s="86" t="s">
        <v>260</v>
      </c>
      <c r="O9" s="86" t="s">
        <v>261</v>
      </c>
      <c r="P9" s="86" t="s">
        <v>259</v>
      </c>
      <c r="T9" s="86" t="s">
        <v>440</v>
      </c>
      <c r="U9" s="86">
        <v>2016</v>
      </c>
      <c r="V9" s="86">
        <v>2019</v>
      </c>
      <c r="Y9" s="86" t="s">
        <v>95</v>
      </c>
      <c r="Z9" s="124" t="s">
        <v>245</v>
      </c>
      <c r="AA9" s="124" t="s">
        <v>125</v>
      </c>
      <c r="AB9" s="124"/>
      <c r="AC9" s="124"/>
      <c r="AD9" s="124" t="s">
        <v>432</v>
      </c>
      <c r="AE9" s="124" t="s">
        <v>431</v>
      </c>
      <c r="AF9" s="124" t="s">
        <v>431</v>
      </c>
    </row>
    <row r="10" spans="1:32" x14ac:dyDescent="0.3">
      <c r="A10" s="86" t="s">
        <v>96</v>
      </c>
      <c r="B10" s="124" t="s">
        <v>244</v>
      </c>
      <c r="C10" s="124" t="s">
        <v>441</v>
      </c>
      <c r="D10" s="124"/>
      <c r="E10" s="124"/>
      <c r="F10" s="124" t="s">
        <v>432</v>
      </c>
      <c r="H10" s="86" t="s">
        <v>302</v>
      </c>
      <c r="I10" s="86" t="s">
        <v>96</v>
      </c>
      <c r="J10" s="86" t="s">
        <v>268</v>
      </c>
      <c r="M10" s="86" t="s">
        <v>96</v>
      </c>
      <c r="N10" s="86" t="s">
        <v>269</v>
      </c>
      <c r="O10" s="86" t="s">
        <v>261</v>
      </c>
      <c r="P10" s="86" t="s">
        <v>268</v>
      </c>
      <c r="T10" s="86" t="s">
        <v>394</v>
      </c>
      <c r="U10" s="86">
        <v>2017</v>
      </c>
      <c r="V10" s="86">
        <v>2022</v>
      </c>
      <c r="Y10" s="86" t="s">
        <v>96</v>
      </c>
      <c r="Z10" s="124" t="s">
        <v>244</v>
      </c>
      <c r="AA10" s="124" t="s">
        <v>441</v>
      </c>
      <c r="AB10" s="124"/>
      <c r="AC10" s="124"/>
      <c r="AD10" s="124" t="s">
        <v>432</v>
      </c>
      <c r="AE10" s="124"/>
      <c r="AF10" s="124"/>
    </row>
    <row r="11" spans="1:32" x14ac:dyDescent="0.3">
      <c r="A11" s="86" t="s">
        <v>97</v>
      </c>
      <c r="B11" s="124" t="s">
        <v>244</v>
      </c>
      <c r="C11" s="124" t="s">
        <v>402</v>
      </c>
      <c r="D11" s="124"/>
      <c r="E11" s="124"/>
      <c r="F11" s="124" t="s">
        <v>432</v>
      </c>
      <c r="H11" s="86" t="s">
        <v>309</v>
      </c>
      <c r="I11" s="86" t="s">
        <v>97</v>
      </c>
      <c r="J11" s="86" t="s">
        <v>272</v>
      </c>
      <c r="M11" s="86" t="s">
        <v>97</v>
      </c>
      <c r="N11" s="125" t="s">
        <v>442</v>
      </c>
      <c r="O11" s="125" t="s">
        <v>272</v>
      </c>
      <c r="P11" s="125" t="s">
        <v>272</v>
      </c>
      <c r="T11" s="86" t="s">
        <v>396</v>
      </c>
      <c r="U11" s="86">
        <v>2015</v>
      </c>
      <c r="V11" s="86">
        <v>2021</v>
      </c>
      <c r="Y11" s="86" t="s">
        <v>97</v>
      </c>
      <c r="Z11" s="124" t="s">
        <v>244</v>
      </c>
      <c r="AA11" s="124" t="s">
        <v>402</v>
      </c>
      <c r="AB11" s="124"/>
      <c r="AC11" s="124"/>
      <c r="AD11" s="124" t="s">
        <v>432</v>
      </c>
      <c r="AE11" s="124"/>
      <c r="AF11" s="124"/>
    </row>
    <row r="12" spans="1:32" x14ac:dyDescent="0.3">
      <c r="A12" s="86" t="s">
        <v>99</v>
      </c>
      <c r="B12" s="124" t="s">
        <v>244</v>
      </c>
      <c r="C12" s="124" t="s">
        <v>125</v>
      </c>
      <c r="D12" s="124"/>
      <c r="E12" s="124"/>
      <c r="F12" s="124" t="s">
        <v>432</v>
      </c>
      <c r="H12" s="86" t="s">
        <v>312</v>
      </c>
      <c r="I12" s="86" t="s">
        <v>99</v>
      </c>
      <c r="J12" s="86" t="s">
        <v>259</v>
      </c>
      <c r="M12" s="86" t="s">
        <v>127</v>
      </c>
      <c r="N12" s="86" t="s">
        <v>260</v>
      </c>
      <c r="O12" s="86" t="s">
        <v>264</v>
      </c>
      <c r="P12" s="86" t="s">
        <v>263</v>
      </c>
      <c r="T12" s="86" t="s">
        <v>398</v>
      </c>
      <c r="U12" s="86">
        <v>2016</v>
      </c>
      <c r="V12" s="86">
        <v>2022</v>
      </c>
      <c r="Y12" s="86" t="s">
        <v>99</v>
      </c>
      <c r="Z12" s="124" t="s">
        <v>244</v>
      </c>
      <c r="AA12" s="124" t="s">
        <v>125</v>
      </c>
      <c r="AB12" s="124"/>
      <c r="AC12" s="124"/>
      <c r="AD12" s="124" t="s">
        <v>432</v>
      </c>
      <c r="AE12" s="124" t="s">
        <v>431</v>
      </c>
      <c r="AF12" s="124" t="s">
        <v>431</v>
      </c>
    </row>
    <row r="13" spans="1:32" x14ac:dyDescent="0.3">
      <c r="A13" s="86" t="s">
        <v>126</v>
      </c>
      <c r="B13" s="124" t="s">
        <v>244</v>
      </c>
      <c r="C13" s="124" t="s">
        <v>443</v>
      </c>
      <c r="D13" s="124"/>
      <c r="E13" s="124"/>
      <c r="F13" s="124" t="s">
        <v>432</v>
      </c>
      <c r="H13" s="86" t="s">
        <v>300</v>
      </c>
      <c r="I13" s="86" t="s">
        <v>126</v>
      </c>
      <c r="J13" s="86" t="s">
        <v>274</v>
      </c>
      <c r="M13" s="86" t="s">
        <v>128</v>
      </c>
      <c r="N13" s="86" t="s">
        <v>260</v>
      </c>
      <c r="O13" s="86" t="s">
        <v>261</v>
      </c>
      <c r="P13" s="86" t="s">
        <v>259</v>
      </c>
      <c r="T13" s="86" t="s">
        <v>444</v>
      </c>
      <c r="U13" s="86">
        <v>2017</v>
      </c>
      <c r="V13" s="86">
        <v>2020</v>
      </c>
      <c r="Y13" s="86" t="s">
        <v>126</v>
      </c>
      <c r="Z13" s="124" t="s">
        <v>244</v>
      </c>
      <c r="AA13" s="124" t="s">
        <v>443</v>
      </c>
      <c r="AB13" s="124"/>
      <c r="AC13" s="124"/>
      <c r="AD13" s="124" t="s">
        <v>432</v>
      </c>
      <c r="AE13" s="124"/>
      <c r="AF13" s="124"/>
    </row>
    <row r="14" spans="1:32" x14ac:dyDescent="0.3">
      <c r="A14" s="86" t="s">
        <v>100</v>
      </c>
      <c r="B14" s="124" t="s">
        <v>244</v>
      </c>
      <c r="C14" s="124" t="s">
        <v>125</v>
      </c>
      <c r="D14" s="124"/>
      <c r="E14" s="124" t="s">
        <v>445</v>
      </c>
      <c r="F14" s="124" t="s">
        <v>446</v>
      </c>
      <c r="H14" s="86" t="s">
        <v>296</v>
      </c>
      <c r="I14" s="86" t="s">
        <v>100</v>
      </c>
      <c r="J14" s="86" t="s">
        <v>259</v>
      </c>
      <c r="M14" s="86" t="s">
        <v>99</v>
      </c>
      <c r="N14" s="86" t="s">
        <v>260</v>
      </c>
      <c r="O14" s="86" t="s">
        <v>261</v>
      </c>
      <c r="P14" s="86" t="s">
        <v>259</v>
      </c>
      <c r="T14" s="86" t="s">
        <v>399</v>
      </c>
      <c r="U14" s="86">
        <v>2016</v>
      </c>
      <c r="V14" s="86">
        <v>2022</v>
      </c>
      <c r="Y14" s="86" t="s">
        <v>100</v>
      </c>
      <c r="Z14" s="124" t="s">
        <v>244</v>
      </c>
      <c r="AA14" s="124" t="s">
        <v>125</v>
      </c>
      <c r="AB14" s="124"/>
      <c r="AC14" s="124" t="s">
        <v>445</v>
      </c>
      <c r="AD14" s="124" t="s">
        <v>446</v>
      </c>
      <c r="AE14" s="124" t="s">
        <v>431</v>
      </c>
      <c r="AF14" s="124" t="s">
        <v>431</v>
      </c>
    </row>
    <row r="15" spans="1:32" x14ac:dyDescent="0.3">
      <c r="A15" s="86" t="s">
        <v>127</v>
      </c>
      <c r="B15" s="124" t="s">
        <v>235</v>
      </c>
      <c r="C15" s="124" t="s">
        <v>383</v>
      </c>
      <c r="D15" s="124"/>
      <c r="E15" s="124"/>
      <c r="F15" s="124" t="s">
        <v>432</v>
      </c>
      <c r="H15" s="86" t="s">
        <v>306</v>
      </c>
      <c r="I15" s="86" t="s">
        <v>127</v>
      </c>
      <c r="J15" s="86" t="s">
        <v>263</v>
      </c>
      <c r="M15" s="86" t="s">
        <v>126</v>
      </c>
      <c r="N15" s="126" t="s">
        <v>269</v>
      </c>
      <c r="O15" s="86" t="s">
        <v>274</v>
      </c>
      <c r="P15" s="86" t="s">
        <v>271</v>
      </c>
      <c r="T15" s="86" t="s">
        <v>447</v>
      </c>
      <c r="U15" s="86">
        <v>2017</v>
      </c>
      <c r="V15" s="86">
        <v>2021</v>
      </c>
      <c r="Y15" s="86" t="s">
        <v>127</v>
      </c>
      <c r="Z15" s="124" t="s">
        <v>235</v>
      </c>
      <c r="AA15" s="124" t="s">
        <v>383</v>
      </c>
      <c r="AB15" s="124"/>
      <c r="AC15" s="124"/>
      <c r="AD15" s="124" t="s">
        <v>432</v>
      </c>
      <c r="AE15" s="124"/>
      <c r="AF15" s="124"/>
    </row>
    <row r="16" spans="1:32" x14ac:dyDescent="0.3">
      <c r="A16" s="86" t="s">
        <v>101</v>
      </c>
      <c r="B16" s="124" t="s">
        <v>237</v>
      </c>
      <c r="C16" s="124" t="s">
        <v>448</v>
      </c>
      <c r="D16" s="124"/>
      <c r="E16" s="124"/>
      <c r="F16" s="124" t="s">
        <v>432</v>
      </c>
      <c r="H16" s="86" t="s">
        <v>308</v>
      </c>
      <c r="I16" s="86" t="s">
        <v>101</v>
      </c>
      <c r="J16" s="86" t="s">
        <v>274</v>
      </c>
      <c r="M16" s="86" t="s">
        <v>100</v>
      </c>
      <c r="N16" s="86" t="s">
        <v>260</v>
      </c>
      <c r="O16" s="86" t="s">
        <v>261</v>
      </c>
      <c r="P16" s="86" t="s">
        <v>259</v>
      </c>
      <c r="T16" s="86" t="s">
        <v>401</v>
      </c>
      <c r="U16" s="86">
        <v>2016</v>
      </c>
      <c r="V16" s="86">
        <v>2021</v>
      </c>
      <c r="Y16" s="86" t="s">
        <v>101</v>
      </c>
      <c r="Z16" s="124" t="s">
        <v>237</v>
      </c>
      <c r="AA16" s="124" t="s">
        <v>448</v>
      </c>
      <c r="AB16" s="124"/>
      <c r="AC16" s="124"/>
      <c r="AD16" s="124" t="s">
        <v>432</v>
      </c>
      <c r="AE16" s="124" t="s">
        <v>431</v>
      </c>
      <c r="AF16" s="124" t="s">
        <v>431</v>
      </c>
    </row>
    <row r="17" spans="1:22" x14ac:dyDescent="0.3">
      <c r="M17" s="86" t="s">
        <v>101</v>
      </c>
      <c r="N17" s="86" t="s">
        <v>260</v>
      </c>
      <c r="O17" s="86" t="s">
        <v>272</v>
      </c>
      <c r="P17" s="86" t="s">
        <v>271</v>
      </c>
      <c r="T17" s="86" t="s">
        <v>449</v>
      </c>
      <c r="U17" s="86">
        <v>2016</v>
      </c>
      <c r="V17" s="86">
        <v>2017</v>
      </c>
    </row>
    <row r="18" spans="1:22" x14ac:dyDescent="0.3">
      <c r="A18" s="214" t="s">
        <v>450</v>
      </c>
      <c r="B18" s="214"/>
      <c r="C18" s="214"/>
      <c r="D18" s="214"/>
      <c r="E18" s="214"/>
      <c r="F18" s="127"/>
      <c r="T18" s="86" t="s">
        <v>451</v>
      </c>
      <c r="U18" s="86">
        <v>2016</v>
      </c>
      <c r="V18" s="86">
        <v>2019</v>
      </c>
    </row>
    <row r="19" spans="1:22" x14ac:dyDescent="0.3">
      <c r="A19" s="214" t="s">
        <v>452</v>
      </c>
      <c r="B19" s="214"/>
      <c r="C19" s="214"/>
      <c r="D19" s="214"/>
      <c r="E19" s="214"/>
      <c r="F19" s="127"/>
      <c r="T19" s="86" t="s">
        <v>453</v>
      </c>
      <c r="U19" s="86">
        <v>2014</v>
      </c>
      <c r="V19" s="86">
        <v>2020</v>
      </c>
    </row>
    <row r="20" spans="1:22" x14ac:dyDescent="0.3">
      <c r="A20" s="214" t="s">
        <v>454</v>
      </c>
      <c r="B20" s="214"/>
      <c r="C20" s="214"/>
      <c r="D20" s="214"/>
      <c r="E20" s="214"/>
      <c r="F20" s="127"/>
      <c r="T20" s="86" t="s">
        <v>455</v>
      </c>
      <c r="U20" s="86">
        <v>2016</v>
      </c>
      <c r="V20" s="86">
        <v>2020</v>
      </c>
    </row>
    <row r="21" spans="1:22" x14ac:dyDescent="0.3">
      <c r="A21" s="125" t="s">
        <v>98</v>
      </c>
      <c r="B21" s="125" t="s">
        <v>231</v>
      </c>
      <c r="C21" s="125" t="s">
        <v>123</v>
      </c>
      <c r="D21" s="208"/>
      <c r="E21" s="209"/>
      <c r="F21" s="128"/>
      <c r="H21" s="86" t="s">
        <v>292</v>
      </c>
      <c r="I21" s="86" t="s">
        <v>98</v>
      </c>
      <c r="J21" s="86" t="s">
        <v>456</v>
      </c>
      <c r="T21" s="86" t="s">
        <v>457</v>
      </c>
      <c r="U21" s="86">
        <v>2017</v>
      </c>
      <c r="V21" s="86">
        <v>2022</v>
      </c>
    </row>
    <row r="28" spans="1:22" x14ac:dyDescent="0.3">
      <c r="M28" s="86"/>
      <c r="N28" s="86"/>
    </row>
  </sheetData>
  <mergeCells count="8">
    <mergeCell ref="Y3:Z3"/>
    <mergeCell ref="D21:E21"/>
    <mergeCell ref="H2:J2"/>
    <mergeCell ref="M2:P2"/>
    <mergeCell ref="A3:B3"/>
    <mergeCell ref="A18:E18"/>
    <mergeCell ref="A19:E19"/>
    <mergeCell ref="A20:E20"/>
  </mergeCells>
  <hyperlinks>
    <hyperlink ref="A1" location="Index!A1" display="'Index" xr:uid="{D155C109-9945-4935-BEDC-18A18C225781}"/>
  </hyperlinks>
  <pageMargins left="0.7" right="0.7" top="0.75" bottom="0.75" header="0.3" footer="0.3"/>
  <headerFooter>
    <oddFooter>&amp;R_x000D_&amp;1#&amp;"Calibri"&amp;10&amp;K000000 Official Use Only</oddFooter>
  </headerFooter>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DA430-7D18-4018-900A-63A48C6C0394}">
  <dimension ref="A1:Y9"/>
  <sheetViews>
    <sheetView workbookViewId="0">
      <selection activeCell="B3" sqref="B3:E9"/>
    </sheetView>
  </sheetViews>
  <sheetFormatPr defaultColWidth="9" defaultRowHeight="14.4" x14ac:dyDescent="0.3"/>
  <cols>
    <col min="1" max="1" width="9" style="81"/>
    <col min="2" max="2" width="22.5546875" style="81" customWidth="1"/>
    <col min="3" max="3" width="18.109375" style="81" customWidth="1"/>
    <col min="4" max="4" width="20.109375" style="81" customWidth="1"/>
    <col min="5" max="5" width="18.109375" style="81" bestFit="1" customWidth="1"/>
    <col min="6" max="16384" width="9" style="81"/>
  </cols>
  <sheetData>
    <row r="1" spans="1:25" x14ac:dyDescent="0.3">
      <c r="A1" s="108" t="s">
        <v>0</v>
      </c>
    </row>
    <row r="2" spans="1:25" x14ac:dyDescent="0.3">
      <c r="B2" s="160" t="s">
        <v>458</v>
      </c>
      <c r="Y2" s="81" t="s">
        <v>420</v>
      </c>
    </row>
    <row r="3" spans="1:25" x14ac:dyDescent="0.3">
      <c r="B3" s="167" t="s">
        <v>119</v>
      </c>
      <c r="C3" s="168" t="s">
        <v>257</v>
      </c>
      <c r="D3" s="167" t="s">
        <v>258</v>
      </c>
      <c r="E3" s="168" t="s">
        <v>252</v>
      </c>
    </row>
    <row r="4" spans="1:25" x14ac:dyDescent="0.3">
      <c r="B4" s="129" t="s">
        <v>94</v>
      </c>
      <c r="C4" s="215"/>
      <c r="D4" s="217" t="s">
        <v>459</v>
      </c>
      <c r="E4" s="218" t="s">
        <v>271</v>
      </c>
    </row>
    <row r="5" spans="1:25" x14ac:dyDescent="0.3">
      <c r="B5" s="129" t="s">
        <v>101</v>
      </c>
      <c r="C5" s="215"/>
      <c r="D5" s="217"/>
      <c r="E5" s="219"/>
    </row>
    <row r="6" spans="1:25" x14ac:dyDescent="0.3">
      <c r="B6" s="129" t="s">
        <v>127</v>
      </c>
      <c r="C6" s="216"/>
      <c r="D6" s="130" t="s">
        <v>460</v>
      </c>
      <c r="E6" s="86" t="s">
        <v>461</v>
      </c>
    </row>
    <row r="7" spans="1:25" x14ac:dyDescent="0.3">
      <c r="B7" s="129" t="s">
        <v>96</v>
      </c>
      <c r="C7" s="220" t="s">
        <v>462</v>
      </c>
      <c r="D7" s="124"/>
      <c r="E7" s="86" t="s">
        <v>463</v>
      </c>
    </row>
    <row r="8" spans="1:25" x14ac:dyDescent="0.3">
      <c r="B8" s="129" t="s">
        <v>126</v>
      </c>
      <c r="C8" s="221"/>
      <c r="D8" s="86" t="s">
        <v>464</v>
      </c>
      <c r="E8" s="86" t="s">
        <v>271</v>
      </c>
    </row>
    <row r="9" spans="1:25" x14ac:dyDescent="0.3">
      <c r="B9" s="129" t="s">
        <v>97</v>
      </c>
      <c r="C9" s="86" t="s">
        <v>465</v>
      </c>
      <c r="D9" s="86" t="s">
        <v>466</v>
      </c>
      <c r="E9" s="86" t="s">
        <v>459</v>
      </c>
    </row>
  </sheetData>
  <mergeCells count="4">
    <mergeCell ref="C4:C6"/>
    <mergeCell ref="D4:D5"/>
    <mergeCell ref="E4:E5"/>
    <mergeCell ref="C7:C8"/>
  </mergeCells>
  <hyperlinks>
    <hyperlink ref="A1" location="Index!A1" display="'Index" xr:uid="{7C30CA01-24E4-401F-BB32-ED10E4466AE8}"/>
  </hyperlinks>
  <pageMargins left="0.7" right="0.7" top="0.75" bottom="0.75" header="0.3" footer="0.3"/>
  <headerFooter>
    <oddFooter>&amp;R_x000D_&amp;1#&amp;"Calibri"&amp;10&amp;K000000 Official Use Only</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F3233-0839-47E8-9F12-899E45A74E26}">
  <dimension ref="A1:G26"/>
  <sheetViews>
    <sheetView zoomScale="106" zoomScaleNormal="106" workbookViewId="0">
      <selection activeCell="B21" sqref="B21:C26"/>
    </sheetView>
  </sheetViews>
  <sheetFormatPr defaultColWidth="9" defaultRowHeight="14.4" x14ac:dyDescent="0.3"/>
  <cols>
    <col min="1" max="1" width="9" style="81"/>
    <col min="2" max="2" width="29.44140625" style="81" customWidth="1"/>
    <col min="3" max="3" width="17.44140625" style="81" customWidth="1"/>
    <col min="4" max="16384" width="9" style="81"/>
  </cols>
  <sheetData>
    <row r="1" spans="1:7" x14ac:dyDescent="0.3">
      <c r="A1" s="108" t="s">
        <v>0</v>
      </c>
    </row>
    <row r="3" spans="1:7" ht="24" customHeight="1" x14ac:dyDescent="0.3">
      <c r="B3" s="169" t="s">
        <v>119</v>
      </c>
      <c r="C3" s="169" t="s">
        <v>467</v>
      </c>
    </row>
    <row r="4" spans="1:7" x14ac:dyDescent="0.3">
      <c r="B4" s="86" t="s">
        <v>147</v>
      </c>
      <c r="C4" s="218" t="s">
        <v>468</v>
      </c>
      <c r="G4" s="131"/>
    </row>
    <row r="5" spans="1:7" x14ac:dyDescent="0.3">
      <c r="B5" s="86" t="s">
        <v>129</v>
      </c>
      <c r="C5" s="222"/>
      <c r="G5" s="131"/>
    </row>
    <row r="6" spans="1:7" x14ac:dyDescent="0.3">
      <c r="B6" s="86" t="s">
        <v>138</v>
      </c>
      <c r="C6" s="219"/>
      <c r="G6" s="131"/>
    </row>
    <row r="7" spans="1:7" x14ac:dyDescent="0.3">
      <c r="B7" s="86" t="s">
        <v>133</v>
      </c>
      <c r="C7" s="218" t="s">
        <v>123</v>
      </c>
      <c r="G7" s="131"/>
    </row>
    <row r="8" spans="1:7" x14ac:dyDescent="0.3">
      <c r="B8" s="86" t="s">
        <v>140</v>
      </c>
      <c r="C8" s="219"/>
      <c r="G8" s="131"/>
    </row>
    <row r="9" spans="1:7" x14ac:dyDescent="0.3">
      <c r="B9" s="86" t="s">
        <v>146</v>
      </c>
      <c r="C9" s="86" t="s">
        <v>469</v>
      </c>
      <c r="G9" s="131"/>
    </row>
    <row r="10" spans="1:7" x14ac:dyDescent="0.3">
      <c r="B10" s="86" t="s">
        <v>130</v>
      </c>
      <c r="C10" s="86" t="s">
        <v>470</v>
      </c>
      <c r="G10" s="131"/>
    </row>
    <row r="11" spans="1:7" x14ac:dyDescent="0.3">
      <c r="B11" s="86" t="s">
        <v>141</v>
      </c>
      <c r="C11" s="86" t="s">
        <v>471</v>
      </c>
      <c r="G11" s="131"/>
    </row>
    <row r="12" spans="1:7" x14ac:dyDescent="0.3">
      <c r="B12" s="86" t="s">
        <v>132</v>
      </c>
      <c r="C12" s="86" t="s">
        <v>472</v>
      </c>
      <c r="G12" s="131"/>
    </row>
    <row r="13" spans="1:7" x14ac:dyDescent="0.3">
      <c r="B13" s="86" t="s">
        <v>136</v>
      </c>
      <c r="C13" s="86" t="s">
        <v>473</v>
      </c>
      <c r="G13" s="131"/>
    </row>
    <row r="14" spans="1:7" x14ac:dyDescent="0.3">
      <c r="B14" s="86" t="s">
        <v>143</v>
      </c>
      <c r="C14" s="86" t="s">
        <v>474</v>
      </c>
      <c r="G14" s="131"/>
    </row>
    <row r="15" spans="1:7" x14ac:dyDescent="0.3">
      <c r="B15" s="86" t="s">
        <v>139</v>
      </c>
      <c r="C15" s="86" t="s">
        <v>475</v>
      </c>
      <c r="G15" s="131"/>
    </row>
    <row r="16" spans="1:7" x14ac:dyDescent="0.3">
      <c r="B16" s="86" t="s">
        <v>144</v>
      </c>
      <c r="C16" s="86" t="s">
        <v>476</v>
      </c>
      <c r="G16" s="131"/>
    </row>
    <row r="17" spans="2:7" x14ac:dyDescent="0.3">
      <c r="B17" s="86" t="s">
        <v>145</v>
      </c>
      <c r="C17" s="86" t="s">
        <v>477</v>
      </c>
      <c r="G17" s="131"/>
    </row>
    <row r="21" spans="2:7" x14ac:dyDescent="0.3">
      <c r="B21" s="167" t="s">
        <v>119</v>
      </c>
      <c r="C21" s="168" t="s">
        <v>478</v>
      </c>
    </row>
    <row r="22" spans="2:7" x14ac:dyDescent="0.3">
      <c r="B22" s="31" t="s">
        <v>479</v>
      </c>
      <c r="C22" s="132" t="s">
        <v>474</v>
      </c>
    </row>
    <row r="23" spans="2:7" x14ac:dyDescent="0.3">
      <c r="B23" s="31" t="s">
        <v>480</v>
      </c>
      <c r="C23" s="132" t="s">
        <v>383</v>
      </c>
    </row>
    <row r="24" spans="2:7" x14ac:dyDescent="0.3">
      <c r="B24" s="31" t="s">
        <v>147</v>
      </c>
      <c r="C24" s="133" t="s">
        <v>468</v>
      </c>
    </row>
    <row r="25" spans="2:7" x14ac:dyDescent="0.3">
      <c r="B25" s="31" t="s">
        <v>129</v>
      </c>
      <c r="C25" s="133" t="s">
        <v>470</v>
      </c>
    </row>
    <row r="26" spans="2:7" x14ac:dyDescent="0.3">
      <c r="B26" s="31" t="s">
        <v>142</v>
      </c>
      <c r="C26" s="133" t="s">
        <v>382</v>
      </c>
    </row>
  </sheetData>
  <mergeCells count="2">
    <mergeCell ref="C4:C6"/>
    <mergeCell ref="C7:C8"/>
  </mergeCells>
  <hyperlinks>
    <hyperlink ref="A1" location="Index!A1" display="'Index" xr:uid="{D1A778BA-79F2-42D1-933A-B80300E99E88}"/>
  </hyperlinks>
  <pageMargins left="0.7" right="0.7" top="0.75" bottom="0.75" header="0.3" footer="0.3"/>
  <headerFooter>
    <oddFooter>&amp;R_x000D_&amp;1#&amp;"Calibri"&amp;10&amp;K000000 Official Use Only</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B71EA-3332-4515-B464-61AEC8097BC1}">
  <dimension ref="A1:C9"/>
  <sheetViews>
    <sheetView workbookViewId="0">
      <selection activeCell="B19" sqref="B19"/>
    </sheetView>
  </sheetViews>
  <sheetFormatPr defaultColWidth="9" defaultRowHeight="14.4" x14ac:dyDescent="0.3"/>
  <cols>
    <col min="1" max="1" width="37.109375" style="81" customWidth="1"/>
    <col min="2" max="2" width="90.88671875" style="81" customWidth="1"/>
    <col min="3" max="16384" width="9" style="81"/>
  </cols>
  <sheetData>
    <row r="1" spans="1:3" x14ac:dyDescent="0.3">
      <c r="A1" s="108" t="s">
        <v>0</v>
      </c>
    </row>
    <row r="2" spans="1:3" x14ac:dyDescent="0.3">
      <c r="C2" s="134"/>
    </row>
    <row r="3" spans="1:3" ht="33" customHeight="1" x14ac:dyDescent="0.3">
      <c r="A3" s="167"/>
      <c r="B3" s="168" t="s">
        <v>481</v>
      </c>
    </row>
    <row r="4" spans="1:3" ht="48" customHeight="1" x14ac:dyDescent="0.3">
      <c r="A4" s="135" t="s">
        <v>192</v>
      </c>
      <c r="B4" s="136" t="s">
        <v>482</v>
      </c>
    </row>
    <row r="5" spans="1:3" ht="43.2" x14ac:dyDescent="0.3">
      <c r="A5" s="135" t="s">
        <v>483</v>
      </c>
      <c r="B5" s="137" t="s">
        <v>484</v>
      </c>
    </row>
    <row r="6" spans="1:3" x14ac:dyDescent="0.3">
      <c r="A6" s="158" t="s">
        <v>485</v>
      </c>
      <c r="B6" s="138" t="s">
        <v>486</v>
      </c>
    </row>
    <row r="7" spans="1:3" x14ac:dyDescent="0.3">
      <c r="A7" s="158" t="s">
        <v>487</v>
      </c>
      <c r="B7" s="138" t="s">
        <v>488</v>
      </c>
    </row>
    <row r="8" spans="1:3" ht="27.75" customHeight="1" x14ac:dyDescent="0.3">
      <c r="A8" s="135" t="s">
        <v>489</v>
      </c>
      <c r="B8" s="139" t="s">
        <v>490</v>
      </c>
    </row>
    <row r="9" spans="1:3" x14ac:dyDescent="0.3">
      <c r="A9" s="140" t="s">
        <v>491</v>
      </c>
      <c r="B9" s="139" t="s">
        <v>492</v>
      </c>
    </row>
  </sheetData>
  <hyperlinks>
    <hyperlink ref="A1" location="Index!A1" display="'Index" xr:uid="{042779CC-E940-47DD-AF2E-33668C8006E2}"/>
  </hyperlinks>
  <pageMargins left="0.7" right="0.7" top="0.75" bottom="0.75" header="0.3" footer="0.3"/>
  <headerFooter>
    <oddFooter>&amp;R_x000D_&amp;1#&amp;"Calibri"&amp;10&amp;K000000 Official Use Only</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7B7F4C7CEDFB43BC5A57FD232D8FD7" ma:contentTypeVersion="19" ma:contentTypeDescription="Create a new document." ma:contentTypeScope="" ma:versionID="f8152d63d3f36a1aa24290b2099c4697">
  <xsd:schema xmlns:xsd="http://www.w3.org/2001/XMLSchema" xmlns:xs="http://www.w3.org/2001/XMLSchema" xmlns:p="http://schemas.microsoft.com/office/2006/metadata/properties" xmlns:ns1="http://schemas.microsoft.com/sharepoint/v3" xmlns:ns2="463ebc2e-01d9-4c1f-889d-9b521b554c11" xmlns:ns3="abfdf98b-e0a2-4984-bc9f-5d8cf29ea182" xmlns:ns4="3e02667f-0271-471b-bd6e-11a2e16def1d" targetNamespace="http://schemas.microsoft.com/office/2006/metadata/properties" ma:root="true" ma:fieldsID="177ddb830ba7519419d657ace234cd03" ns1:_="" ns2:_="" ns3:_="" ns4:_="">
    <xsd:import namespace="http://schemas.microsoft.com/sharepoint/v3"/>
    <xsd:import namespace="463ebc2e-01d9-4c1f-889d-9b521b554c11"/>
    <xsd:import namespace="abfdf98b-e0a2-4984-bc9f-5d8cf29ea182"/>
    <xsd:import namespace="3e02667f-0271-471b-bd6e-11a2e16def1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4:TaxCatchAll" minOccurs="0"/>
                <xsd:element ref="ns2:MediaServiceObjectDetectorVersions" minOccurs="0"/>
                <xsd:element ref="ns2:MediaServiceSearchProperties" minOccurs="0"/>
                <xsd:element ref="ns2: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3ebc2e-01d9-4c1f-889d-9b521b554c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6c10d7-b926-4fc0-945e-3cbf5049f6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bfdf98b-e0a2-4984-bc9f-5d8cf29ea18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e02667f-0271-471b-bd6e-11a2e16def1d"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eaf343f8-f706-41c5-898e-483a17e957f3}" ma:internalName="TaxCatchAll" ma:showField="CatchAllData" ma:web="abfdf98b-e0a2-4984-bc9f-5d8cf29ea18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e02667f-0271-471b-bd6e-11a2e16def1d" xsi:nil="true"/>
    <lcf76f155ced4ddcb4097134ff3c332f xmlns="463ebc2e-01d9-4c1f-889d-9b521b554c11">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58B32D1B-C103-4BC6-A544-6B970E9939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63ebc2e-01d9-4c1f-889d-9b521b554c11"/>
    <ds:schemaRef ds:uri="abfdf98b-e0a2-4984-bc9f-5d8cf29ea182"/>
    <ds:schemaRef ds:uri="3e02667f-0271-471b-bd6e-11a2e16def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C9FBD16-5CF1-4879-A5DD-EFBEE7578AE1}">
  <ds:schemaRefs>
    <ds:schemaRef ds:uri="http://schemas.microsoft.com/sharepoint/v3/contenttype/forms"/>
  </ds:schemaRefs>
</ds:datastoreItem>
</file>

<file path=customXml/itemProps3.xml><?xml version="1.0" encoding="utf-8"?>
<ds:datastoreItem xmlns:ds="http://schemas.openxmlformats.org/officeDocument/2006/customXml" ds:itemID="{ED8A931B-D0C5-4359-9954-8023F5E25869}">
  <ds:schemaRefs>
    <ds:schemaRef ds:uri="abfdf98b-e0a2-4984-bc9f-5d8cf29ea182"/>
    <ds:schemaRef ds:uri="http://schemas.microsoft.com/sharepoint/v3"/>
    <ds:schemaRef ds:uri="http://schemas.microsoft.com/office/infopath/2007/PartnerControls"/>
    <ds:schemaRef ds:uri="http://schemas.microsoft.com/office/2006/documentManagement/types"/>
    <ds:schemaRef ds:uri="http://www.w3.org/XML/1998/namespace"/>
    <ds:schemaRef ds:uri="http://schemas.openxmlformats.org/package/2006/metadata/core-properties"/>
    <ds:schemaRef ds:uri="http://purl.org/dc/elements/1.1/"/>
    <ds:schemaRef ds:uri="http://purl.org/dc/terms/"/>
    <ds:schemaRef ds:uri="http://purl.org/dc/dcmitype/"/>
    <ds:schemaRef ds:uri="3e02667f-0271-471b-bd6e-11a2e16def1d"/>
    <ds:schemaRef ds:uri="463ebc2e-01d9-4c1f-889d-9b521b554c11"/>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Index</vt:lpstr>
      <vt:lpstr>Figure 1</vt:lpstr>
      <vt:lpstr>Figure B1. a)</vt:lpstr>
      <vt:lpstr>Figure B1. b)</vt:lpstr>
      <vt:lpstr>Figure 2</vt:lpstr>
      <vt:lpstr>Figure 3</vt:lpstr>
      <vt:lpstr>Figure 4</vt:lpstr>
      <vt:lpstr>Figure 5</vt:lpstr>
      <vt:lpstr>Figure 6</vt:lpstr>
      <vt:lpstr>Figure 7</vt:lpstr>
      <vt:lpstr>Figure 8</vt:lpstr>
      <vt:lpstr>Figure 9</vt:lpstr>
      <vt:lpstr>Figure 10</vt:lpstr>
      <vt:lpstr>Figure 11 a) and b)</vt:lpstr>
      <vt:lpstr>Figure 12</vt:lpstr>
      <vt:lpstr>Figure 13 a)</vt:lpstr>
      <vt:lpstr>Figure 13 b)</vt:lpstr>
      <vt:lpstr>Annex 01</vt:lpstr>
      <vt:lpstr>Annex 02</vt:lpstr>
      <vt:lpstr>Table A1</vt:lpstr>
      <vt:lpstr>Table A2</vt:lpstr>
      <vt:lpstr>Table A3</vt:lpstr>
      <vt:lpstr>Table A4</vt:lpstr>
      <vt:lpstr>Table A5</vt:lpstr>
      <vt:lpstr>Table A6a</vt:lpstr>
      <vt:lpstr>Table A6b</vt:lpstr>
      <vt:lpstr>Table A7</vt:lpstr>
    </vt:vector>
  </TitlesOfParts>
  <Manager/>
  <Company>WBG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Eduardo Castellanos Rodriguez</dc:creator>
  <cp:keywords/>
  <dc:description/>
  <cp:lastModifiedBy>Luis Eduardo Castellanos Rodriguez</cp:lastModifiedBy>
  <cp:revision/>
  <dcterms:created xsi:type="dcterms:W3CDTF">2025-04-14T17:33:21Z</dcterms:created>
  <dcterms:modified xsi:type="dcterms:W3CDTF">2026-04-01T16:26:59Z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0x010100547B7F4C7CEDFB43BC5A57FD232D8FD7</vt:lpwstr>
  </property>
  <property fmtid="{D5CDD505-2E9C-101B-9397-08002B2CF9AE}" pid="3" name="MediaServiceImageTags">
    <vt:lpwstr/>
  </property>
  <property fmtid="{D5CDD505-2E9C-101B-9397-08002B2CF9AE}" pid="4" name="MSIP_Label_f1bf45b6-5649-4236-82a3-f45024cd282e_Enabled">
    <vt:lpwstr>true</vt:lpwstr>
  </property>
  <property fmtid="{D5CDD505-2E9C-101B-9397-08002B2CF9AE}" pid="5" name="MSIP_Label_f1bf45b6-5649-4236-82a3-f45024cd282e_SetDate">
    <vt:lpwstr>2025-06-15T00:37:35Z</vt:lpwstr>
  </property>
  <property fmtid="{D5CDD505-2E9C-101B-9397-08002B2CF9AE}" pid="6" name="MSIP_Label_f1bf45b6-5649-4236-82a3-f45024cd282e_Method">
    <vt:lpwstr>Privileged</vt:lpwstr>
  </property>
  <property fmtid="{D5CDD505-2E9C-101B-9397-08002B2CF9AE}" pid="7" name="MSIP_Label_f1bf45b6-5649-4236-82a3-f45024cd282e_Name">
    <vt:lpwstr>Official Use Only</vt:lpwstr>
  </property>
  <property fmtid="{D5CDD505-2E9C-101B-9397-08002B2CF9AE}" pid="8" name="MSIP_Label_f1bf45b6-5649-4236-82a3-f45024cd282e_SiteId">
    <vt:lpwstr>31a2fec0-266b-4c67-b56e-2796d8f59c36</vt:lpwstr>
  </property>
  <property fmtid="{D5CDD505-2E9C-101B-9397-08002B2CF9AE}" pid="9" name="MSIP_Label_f1bf45b6-5649-4236-82a3-f45024cd282e_ActionId">
    <vt:lpwstr>85c37816-fcf8-4be6-81bf-3cad46f5f22e</vt:lpwstr>
  </property>
  <property fmtid="{D5CDD505-2E9C-101B-9397-08002B2CF9AE}" pid="10" name="MSIP_Label_f1bf45b6-5649-4236-82a3-f45024cd282e_ContentBits">
    <vt:lpwstr>2</vt:lpwstr>
  </property>
  <property fmtid="{D5CDD505-2E9C-101B-9397-08002B2CF9AE}" pid="11" name="MSIP_Label_f1bf45b6-5649-4236-82a3-f45024cd282e_Tag">
    <vt:lpwstr>10, 0, 1, 2</vt:lpwstr>
  </property>
</Properties>
</file>